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53BE9161-6AE8-5644-B037-CE1895A1DF1F}" xr6:coauthVersionLast="47" xr6:coauthVersionMax="47" xr10:uidLastSave="{00000000-0000-0000-0000-000000000000}"/>
  <bookViews>
    <workbookView xWindow="-108" yWindow="-108" windowWidth="23256" windowHeight="12456" tabRatio="644" xr2:uid="{00000000-000D-0000-FFFF-FFFF00000000}"/>
  </bookViews>
  <sheets>
    <sheet name="boys" sheetId="2" r:id="rId1"/>
    <sheet name="girls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0" i="2" l="1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35" i="2" a="1"/>
  <c r="W35" i="2"/>
  <c r="W34" i="2" a="1"/>
  <c r="W34" i="2"/>
  <c r="W33" i="2" a="1"/>
  <c r="W33" i="2"/>
  <c r="W32" i="2" a="1"/>
  <c r="W32" i="2"/>
  <c r="V23" i="3"/>
  <c r="W23" i="3"/>
  <c r="V35" i="3"/>
  <c r="V34" i="3"/>
  <c r="W34" i="3"/>
  <c r="V33" i="3"/>
  <c r="V32" i="3"/>
  <c r="V31" i="3"/>
  <c r="V30" i="3"/>
  <c r="V29" i="3"/>
  <c r="V28" i="3"/>
  <c r="V27" i="3"/>
  <c r="W27" i="3"/>
  <c r="V26" i="3"/>
  <c r="V25" i="3"/>
  <c r="W25" i="3"/>
  <c r="V24" i="3"/>
  <c r="V22" i="3"/>
  <c r="V21" i="3"/>
  <c r="V20" i="3"/>
  <c r="W20" i="3"/>
  <c r="V19" i="3"/>
  <c r="V18" i="3"/>
  <c r="V17" i="3"/>
  <c r="V16" i="3"/>
  <c r="V14" i="3"/>
  <c r="V15" i="3"/>
  <c r="V13" i="3"/>
  <c r="W13" i="3"/>
  <c r="V12" i="3"/>
  <c r="V11" i="3"/>
  <c r="V18" i="2"/>
  <c r="V28" i="2"/>
  <c r="V35" i="2"/>
  <c r="V34" i="2"/>
  <c r="V33" i="2"/>
  <c r="V32" i="2"/>
  <c r="V30" i="2"/>
  <c r="V27" i="2"/>
  <c r="V26" i="2"/>
  <c r="V25" i="2"/>
  <c r="V24" i="2"/>
  <c r="V23" i="2"/>
  <c r="V22" i="2"/>
  <c r="V21" i="2"/>
  <c r="V20" i="2"/>
  <c r="V19" i="2"/>
  <c r="V17" i="2"/>
  <c r="V16" i="2"/>
  <c r="V15" i="2"/>
  <c r="V14" i="2"/>
  <c r="V13" i="2"/>
  <c r="Q10" i="2"/>
  <c r="V29" i="2"/>
  <c r="P33" i="2"/>
  <c r="Q33" i="2"/>
  <c r="P29" i="2"/>
  <c r="Q29" i="2"/>
  <c r="P24" i="2"/>
  <c r="Q24" i="2"/>
  <c r="P18" i="2"/>
  <c r="Q18" i="2"/>
  <c r="P13" i="2"/>
  <c r="Q13" i="2"/>
  <c r="K33" i="2"/>
  <c r="L33" i="2"/>
  <c r="K29" i="2"/>
  <c r="L29" i="2"/>
  <c r="L24" i="2"/>
  <c r="K24" i="2"/>
  <c r="K18" i="2"/>
  <c r="L18" i="2"/>
  <c r="K13" i="2"/>
  <c r="L13" i="2"/>
  <c r="F33" i="2"/>
  <c r="G33" i="2"/>
  <c r="F29" i="2"/>
  <c r="G29" i="2"/>
  <c r="F24" i="2"/>
  <c r="G24" i="2"/>
  <c r="F18" i="2"/>
  <c r="G18" i="2"/>
  <c r="F13" i="2"/>
  <c r="G13" i="2"/>
  <c r="V10" i="3"/>
  <c r="P34" i="3"/>
  <c r="Q34" i="3"/>
  <c r="P27" i="3"/>
  <c r="Q27" i="3"/>
  <c r="P25" i="3"/>
  <c r="Q25" i="3"/>
  <c r="P23" i="3"/>
  <c r="Q23" i="3"/>
  <c r="P20" i="3"/>
  <c r="Q20" i="3"/>
  <c r="P13" i="3"/>
  <c r="Q13" i="3"/>
  <c r="K34" i="3"/>
  <c r="L34" i="3"/>
  <c r="K27" i="3"/>
  <c r="L27" i="3"/>
  <c r="K25" i="3"/>
  <c r="L25" i="3"/>
  <c r="L23" i="3"/>
  <c r="K23" i="3"/>
  <c r="L20" i="3"/>
  <c r="K20" i="3"/>
  <c r="K13" i="3"/>
  <c r="L13" i="3"/>
  <c r="F13" i="3"/>
  <c r="G13" i="3"/>
  <c r="F34" i="3"/>
  <c r="G34" i="3"/>
  <c r="F27" i="3"/>
  <c r="G27" i="3"/>
  <c r="F23" i="3"/>
  <c r="G23" i="3"/>
  <c r="F25" i="3"/>
  <c r="G25" i="3"/>
  <c r="F20" i="3"/>
  <c r="G20" i="3"/>
  <c r="V12" i="2"/>
  <c r="P35" i="2"/>
  <c r="Q35" i="2"/>
  <c r="P34" i="2"/>
  <c r="Q34" i="2"/>
  <c r="P32" i="2"/>
  <c r="Q32" i="2"/>
  <c r="P30" i="2"/>
  <c r="Q30" i="2"/>
  <c r="P28" i="2"/>
  <c r="Q28" i="2"/>
  <c r="P26" i="2"/>
  <c r="Q26" i="2"/>
  <c r="P27" i="2"/>
  <c r="Q27" i="2"/>
  <c r="P25" i="2"/>
  <c r="Q25" i="2"/>
  <c r="P23" i="2"/>
  <c r="Q23" i="2"/>
  <c r="P22" i="2"/>
  <c r="Q22" i="2"/>
  <c r="P21" i="2"/>
  <c r="Q21" i="2"/>
  <c r="P20" i="2"/>
  <c r="Q20" i="2"/>
  <c r="P19" i="2"/>
  <c r="Q19" i="2"/>
  <c r="P17" i="2"/>
  <c r="Q17" i="2"/>
  <c r="P16" i="2"/>
  <c r="Q16" i="2"/>
  <c r="P15" i="2"/>
  <c r="Q15" i="2"/>
  <c r="P14" i="2"/>
  <c r="Q14" i="2"/>
  <c r="P12" i="2"/>
  <c r="Q12" i="2"/>
  <c r="P11" i="2"/>
  <c r="Q11" i="2"/>
  <c r="P10" i="2"/>
  <c r="K35" i="2"/>
  <c r="L35" i="2"/>
  <c r="K34" i="2"/>
  <c r="L34" i="2"/>
  <c r="K32" i="2"/>
  <c r="L32" i="2"/>
  <c r="K30" i="2"/>
  <c r="L30" i="2"/>
  <c r="K28" i="2"/>
  <c r="L28" i="2"/>
  <c r="K26" i="2"/>
  <c r="L26" i="2"/>
  <c r="K27" i="2"/>
  <c r="L27" i="2"/>
  <c r="K25" i="2"/>
  <c r="L25" i="2"/>
  <c r="K23" i="2"/>
  <c r="L23" i="2"/>
  <c r="K22" i="2"/>
  <c r="L22" i="2"/>
  <c r="K21" i="2"/>
  <c r="L21" i="2"/>
  <c r="K20" i="2"/>
  <c r="L20" i="2"/>
  <c r="K19" i="2"/>
  <c r="L19" i="2"/>
  <c r="K17" i="2"/>
  <c r="L17" i="2"/>
  <c r="K16" i="2"/>
  <c r="L16" i="2"/>
  <c r="K15" i="2"/>
  <c r="L15" i="2"/>
  <c r="K14" i="2"/>
  <c r="L14" i="2"/>
  <c r="K12" i="2"/>
  <c r="L12" i="2"/>
  <c r="K11" i="2"/>
  <c r="L11" i="2"/>
  <c r="K10" i="2"/>
  <c r="L10" i="2"/>
  <c r="F35" i="2"/>
  <c r="G35" i="2"/>
  <c r="F34" i="2"/>
  <c r="G34" i="2"/>
  <c r="F32" i="2"/>
  <c r="G32" i="2"/>
  <c r="F30" i="2"/>
  <c r="G30" i="2"/>
  <c r="F28" i="2"/>
  <c r="G28" i="2"/>
  <c r="F26" i="2"/>
  <c r="G26" i="2"/>
  <c r="F27" i="2"/>
  <c r="G27" i="2"/>
  <c r="F25" i="2"/>
  <c r="G25" i="2"/>
  <c r="F23" i="2"/>
  <c r="G23" i="2"/>
  <c r="F22" i="2"/>
  <c r="G22" i="2"/>
  <c r="F21" i="2"/>
  <c r="G21" i="2"/>
  <c r="F20" i="2"/>
  <c r="G20" i="2"/>
  <c r="F19" i="2"/>
  <c r="G19" i="2"/>
  <c r="F17" i="2"/>
  <c r="G17" i="2"/>
  <c r="F16" i="2"/>
  <c r="G16" i="2"/>
  <c r="F15" i="2"/>
  <c r="G15" i="2"/>
  <c r="F14" i="2"/>
  <c r="G14" i="2"/>
  <c r="F12" i="2"/>
  <c r="G12" i="2"/>
  <c r="F11" i="2"/>
  <c r="G11" i="2"/>
  <c r="F10" i="2"/>
  <c r="G10" i="2"/>
  <c r="W12" i="3"/>
  <c r="W10" i="3"/>
  <c r="W15" i="3"/>
  <c r="W14" i="3"/>
  <c r="W16" i="3"/>
  <c r="W17" i="3"/>
  <c r="W18" i="3"/>
  <c r="W19" i="3"/>
  <c r="W21" i="3"/>
  <c r="W22" i="3"/>
  <c r="W24" i="3"/>
  <c r="W26" i="3"/>
  <c r="W28" i="3"/>
  <c r="W29" i="3"/>
  <c r="W30" i="3"/>
  <c r="W31" i="3"/>
  <c r="W32" i="3"/>
  <c r="W33" i="3"/>
  <c r="W35" i="3"/>
  <c r="W11" i="3"/>
  <c r="P35" i="3"/>
  <c r="Q35" i="3"/>
  <c r="P33" i="3"/>
  <c r="Q33" i="3"/>
  <c r="P32" i="3"/>
  <c r="Q32" i="3"/>
  <c r="P31" i="3"/>
  <c r="P30" i="3"/>
  <c r="Q30" i="3"/>
  <c r="P29" i="3"/>
  <c r="Q29" i="3"/>
  <c r="P28" i="3"/>
  <c r="Q28" i="3"/>
  <c r="P26" i="3"/>
  <c r="Q26" i="3"/>
  <c r="P24" i="3"/>
  <c r="Q24" i="3"/>
  <c r="P22" i="3"/>
  <c r="Q22" i="3"/>
  <c r="P21" i="3"/>
  <c r="Q21" i="3"/>
  <c r="P19" i="3"/>
  <c r="Q19" i="3"/>
  <c r="P18" i="3"/>
  <c r="Q18" i="3"/>
  <c r="P17" i="3"/>
  <c r="Q17" i="3"/>
  <c r="P16" i="3"/>
  <c r="Q16" i="3"/>
  <c r="P14" i="3"/>
  <c r="Q14" i="3"/>
  <c r="P15" i="3"/>
  <c r="Q15" i="3"/>
  <c r="P10" i="3"/>
  <c r="Q10" i="3"/>
  <c r="P12" i="3"/>
  <c r="Q12" i="3"/>
  <c r="P11" i="3"/>
  <c r="Q11" i="3"/>
  <c r="K35" i="3"/>
  <c r="L35" i="3"/>
  <c r="K33" i="3"/>
  <c r="L33" i="3"/>
  <c r="K32" i="3"/>
  <c r="L32" i="3"/>
  <c r="K31" i="3"/>
  <c r="L31" i="3"/>
  <c r="K30" i="3"/>
  <c r="L30" i="3"/>
  <c r="K29" i="3"/>
  <c r="L29" i="3"/>
  <c r="K28" i="3"/>
  <c r="L28" i="3"/>
  <c r="K26" i="3"/>
  <c r="L26" i="3"/>
  <c r="K24" i="3"/>
  <c r="L24" i="3"/>
  <c r="K22" i="3"/>
  <c r="L22" i="3"/>
  <c r="K21" i="3"/>
  <c r="L21" i="3"/>
  <c r="K19" i="3"/>
  <c r="L19" i="3"/>
  <c r="K18" i="3"/>
  <c r="L18" i="3"/>
  <c r="K17" i="3"/>
  <c r="L17" i="3"/>
  <c r="K16" i="3"/>
  <c r="L16" i="3"/>
  <c r="K14" i="3"/>
  <c r="L14" i="3"/>
  <c r="K15" i="3"/>
  <c r="L15" i="3"/>
  <c r="K10" i="3"/>
  <c r="L10" i="3"/>
  <c r="K12" i="3"/>
  <c r="L12" i="3"/>
  <c r="K11" i="3"/>
  <c r="L11" i="3"/>
  <c r="F35" i="3"/>
  <c r="G35" i="3"/>
  <c r="F33" i="3"/>
  <c r="G33" i="3"/>
  <c r="F32" i="3"/>
  <c r="G32" i="3"/>
  <c r="F31" i="3"/>
  <c r="G31" i="3"/>
  <c r="F30" i="3"/>
  <c r="G30" i="3"/>
  <c r="F29" i="3"/>
  <c r="G29" i="3"/>
  <c r="F28" i="3"/>
  <c r="G28" i="3"/>
  <c r="F26" i="3"/>
  <c r="G26" i="3"/>
  <c r="F24" i="3"/>
  <c r="G24" i="3"/>
  <c r="F22" i="3"/>
  <c r="G22" i="3"/>
  <c r="F21" i="3"/>
  <c r="G21" i="3"/>
  <c r="F19" i="3"/>
  <c r="G19" i="3"/>
  <c r="F18" i="3"/>
  <c r="G18" i="3"/>
  <c r="F17" i="3"/>
  <c r="G17" i="3"/>
  <c r="F16" i="3"/>
  <c r="G16" i="3"/>
  <c r="F14" i="3"/>
  <c r="G14" i="3"/>
  <c r="F15" i="3"/>
  <c r="G15" i="3"/>
  <c r="F10" i="3"/>
  <c r="G10" i="3"/>
  <c r="F12" i="3"/>
  <c r="G12" i="3"/>
  <c r="F11" i="3"/>
  <c r="G11" i="3"/>
  <c r="V38" i="2"/>
  <c r="F38" i="2"/>
  <c r="K3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<sst xmlns="http://schemas.openxmlformats.org/spreadsheetml/2006/main" count="121" uniqueCount="84">
  <si>
    <t>नवनगर शिक्षण मंडळ</t>
  </si>
  <si>
    <t>सरस्वती प्राथमिक विद्यामंदिर, आकुर्डी पुणे ३५</t>
  </si>
  <si>
    <t>विद्यार्थ्याचे नाव</t>
  </si>
  <si>
    <t>कला</t>
  </si>
  <si>
    <t>कार्यानुभव</t>
  </si>
  <si>
    <t>शा. शिक्षण</t>
  </si>
  <si>
    <t>मराठी</t>
  </si>
  <si>
    <t>एकूण</t>
  </si>
  <si>
    <t>श्रेणी</t>
  </si>
  <si>
    <t>चित्र / शिल्प</t>
  </si>
  <si>
    <t>गायन</t>
  </si>
  <si>
    <t>नृत्य/नाट्य</t>
  </si>
  <si>
    <t>गरजाधिष्ठीत उपक्रम</t>
  </si>
  <si>
    <t>अभिरुचीपूरक कौशल्य</t>
  </si>
  <si>
    <t>ऐच्छिक उपक्रम</t>
  </si>
  <si>
    <t xml:space="preserve"> अनुकरणात्मक व्यायाम</t>
  </si>
  <si>
    <t>प्रात्यक्षिक कृती</t>
  </si>
  <si>
    <t>आरोग्य शिक्षण</t>
  </si>
  <si>
    <t>अ. क्र.</t>
  </si>
  <si>
    <t xml:space="preserve">इंग्रजी </t>
  </si>
  <si>
    <t xml:space="preserve">गणित </t>
  </si>
  <si>
    <t xml:space="preserve">पट </t>
  </si>
  <si>
    <t xml:space="preserve">हजर </t>
  </si>
  <si>
    <t xml:space="preserve">रजा </t>
  </si>
  <si>
    <t xml:space="preserve">वर्गशिक्षक                             तपासणीस                                    मा .मुख्याध्यापक </t>
  </si>
  <si>
    <t xml:space="preserve">अन्सारी आतिफ इमरान </t>
  </si>
  <si>
    <t xml:space="preserve">बग प्रथमेश दिपक </t>
  </si>
  <si>
    <t>भोसले प्रदीप गणेश</t>
  </si>
  <si>
    <t xml:space="preserve">डाबेराव ओम अरविंद </t>
  </si>
  <si>
    <t>धाडे गणेश सुनील</t>
  </si>
  <si>
    <t>कांबळे परसु शंकर</t>
  </si>
  <si>
    <t xml:space="preserve">क्षिरसागर वेदांत साईबाबा </t>
  </si>
  <si>
    <t xml:space="preserve">मोगल शिवराज बाळासाहेब </t>
  </si>
  <si>
    <t>म्हस्के आयुष विजय</t>
  </si>
  <si>
    <t>मोरे वेदांत मयूर</t>
  </si>
  <si>
    <t>पाचारे रोहित भगवान</t>
  </si>
  <si>
    <t>राम ऋषिकुमार श्यामबाबू</t>
  </si>
  <si>
    <t xml:space="preserve">राम गोपाल कृष्णा </t>
  </si>
  <si>
    <t>शिंदे गंधर्व कल्याण</t>
  </si>
  <si>
    <t xml:space="preserve">कसबे वेद तुकाराम </t>
  </si>
  <si>
    <t>लोधी कितारनाथ रामप्रकाश</t>
  </si>
  <si>
    <t>मेटांगे प्रणीत गजानन</t>
  </si>
  <si>
    <t>पुजारी समर्थ शरणाप्पा</t>
  </si>
  <si>
    <t>वाल्मिकी प्रशांत मुनेश</t>
  </si>
  <si>
    <t>डोंगरे आरुष अभिजीत</t>
  </si>
  <si>
    <t>आढारी ईशा विष्णु</t>
  </si>
  <si>
    <t>आखाडे माया मताप</t>
  </si>
  <si>
    <t>अन्सारी शेहनाजखातून सुलतान</t>
  </si>
  <si>
    <t>भंडारे चैत्राली महादेव</t>
  </si>
  <si>
    <t>गायकवाड श्रुती विनोद</t>
  </si>
  <si>
    <t>कांबळे मनस्वी छत्रपती</t>
  </si>
  <si>
    <t>खवळे श्रेया तानाजी</t>
  </si>
  <si>
    <t xml:space="preserve">क्षिरसागर श्रावणी साईबाबा </t>
  </si>
  <si>
    <t>मोरे स्वरा समाधान</t>
  </si>
  <si>
    <t>पाल रश्मी सोभनाथ</t>
  </si>
  <si>
    <t>रोकडे श्रावणी समाधान</t>
  </si>
  <si>
    <t>सावंत अधिरा गणेश</t>
  </si>
  <si>
    <t>वाघमारे प्रिती प्रदिप</t>
  </si>
  <si>
    <t>भाकरे  ईश्वरी राजेश</t>
  </si>
  <si>
    <t>घोलप संस्कृती रामहरी</t>
  </si>
  <si>
    <t>हत्तीकर तनुजा किसन</t>
  </si>
  <si>
    <t>काळोखे आरुषी अर्जुन</t>
  </si>
  <si>
    <t>पोलके प्रज्ञा हिरालाल</t>
  </si>
  <si>
    <t xml:space="preserve">पुजारी श्रावणी चंद्रकांत. </t>
  </si>
  <si>
    <t>शिंदे प्रिया दीपक</t>
  </si>
  <si>
    <t>घोलप शिवराज नामदेव</t>
  </si>
  <si>
    <t xml:space="preserve">परिसर </t>
  </si>
  <si>
    <t xml:space="preserve">अ </t>
  </si>
  <si>
    <t xml:space="preserve">ब </t>
  </si>
  <si>
    <t xml:space="preserve">क </t>
  </si>
  <si>
    <t xml:space="preserve">चव्हाण रुद्र दिपक  </t>
  </si>
  <si>
    <t xml:space="preserve">जगताप जीवन प्रकाश </t>
  </si>
  <si>
    <t xml:space="preserve">मासाल विराज कृष्णा </t>
  </si>
  <si>
    <t xml:space="preserve">पालवे आविष्कार जालिंदर </t>
  </si>
  <si>
    <t xml:space="preserve">साठे हर्षद संतोष </t>
  </si>
  <si>
    <t xml:space="preserve">बंडगर आराध्या शरणबसप्पा </t>
  </si>
  <si>
    <t xml:space="preserve">कांबळे प्राणिता गौतम </t>
  </si>
  <si>
    <t xml:space="preserve">खोडके कल्याणी गोपाल </t>
  </si>
  <si>
    <t xml:space="preserve">मावळे हिरण्या इंद्रजीत </t>
  </si>
  <si>
    <t xml:space="preserve">वाघमारे अनुष्का गणेश </t>
  </si>
  <si>
    <t xml:space="preserve">इयत्ता -३  री    तुकडी -क                     घटक चाचणी परीक्षा १/२ निकालपत्रक                        वर्ग शिक्षक - कु . ए. बी. अहिरराव </t>
  </si>
  <si>
    <t xml:space="preserve">मुंडे अनन्या श्रीमंत </t>
  </si>
  <si>
    <t xml:space="preserve">absent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</si>
</sst>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33" x14ac:knownFonts="1">
    <font>
      <sz val="10"/>
      <color rgb="FF000000"/>
      <name val="Arial"/>
      <scheme val="minor"/>
    </font>
    <font>
      <b/>
      <sz val="22"/>
      <color rgb="FFFF00FF"/>
      <name val="Times New Roman"/>
    </font>
    <font>
      <b/>
      <sz val="15"/>
      <name val="Times New Roman"/>
    </font>
    <font>
      <b/>
      <sz val="15"/>
      <name val="Times New Roman"/>
    </font>
    <font>
      <sz val="10"/>
      <name val="Arial"/>
    </font>
    <font>
      <sz val="14"/>
      <name val="Arial"/>
    </font>
    <font>
      <sz val="15"/>
      <name val="Times New Roman"/>
    </font>
    <font>
      <b/>
      <sz val="17"/>
      <name val="Times New Roman"/>
    </font>
    <font>
      <b/>
      <sz val="14"/>
      <name val="Times New Roman"/>
    </font>
    <font>
      <sz val="14"/>
      <name val="Times New Roman"/>
    </font>
    <font>
      <sz val="10"/>
      <name val="Arial"/>
    </font>
    <font>
      <b/>
      <sz val="14"/>
      <name val="Times New Roman"/>
      <family val="1"/>
    </font>
    <font>
      <sz val="14"/>
      <name val="Arial"/>
      <family val="2"/>
    </font>
    <font>
      <b/>
      <sz val="18"/>
      <color rgb="FF0000FF"/>
      <name val="Times New Roman"/>
      <family val="1"/>
    </font>
    <font>
      <b/>
      <sz val="15"/>
      <name val="Times New Roman"/>
      <family val="1"/>
    </font>
    <font>
      <sz val="8"/>
      <name val="Arial"/>
      <family val="2"/>
      <scheme val="minor"/>
    </font>
    <font>
      <b/>
      <sz val="18"/>
      <name val="Times New Roman"/>
      <family val="1"/>
    </font>
    <font>
      <sz val="18"/>
      <name val="Times New Roman"/>
      <family val="1"/>
    </font>
    <font>
      <b/>
      <sz val="18"/>
      <name val="Kokila"/>
      <family val="2"/>
    </font>
    <font>
      <b/>
      <sz val="22"/>
      <color rgb="FF9900FF"/>
      <name val="Times New Roman"/>
      <family val="1"/>
    </font>
    <font>
      <sz val="22"/>
      <color rgb="FF000000"/>
      <name val="Arial"/>
      <family val="2"/>
      <scheme val="minor"/>
    </font>
    <font>
      <b/>
      <sz val="10"/>
      <name val="Arial"/>
      <family val="2"/>
    </font>
    <font>
      <sz val="14"/>
      <color rgb="FF000000"/>
      <name val="Arial"/>
      <family val="2"/>
      <scheme val="minor"/>
    </font>
    <font>
      <sz val="10"/>
      <name val="Kokila"/>
      <family val="2"/>
    </font>
    <font>
      <sz val="20"/>
      <name val="Kokila"/>
      <family val="2"/>
    </font>
    <font>
      <sz val="20"/>
      <color rgb="FF000000"/>
      <name val="Kokila"/>
      <family val="2"/>
    </font>
    <font>
      <b/>
      <sz val="20"/>
      <name val="Kokila"/>
      <family val="2"/>
    </font>
    <font>
      <b/>
      <sz val="10"/>
      <color rgb="FF000000"/>
      <name val="Arial"/>
      <family val="2"/>
      <scheme val="minor"/>
    </font>
    <font>
      <b/>
      <sz val="15"/>
      <color rgb="FF000000"/>
      <name val="Times New Roman"/>
      <family val="1"/>
    </font>
    <font>
      <sz val="10"/>
      <color rgb="FF000000"/>
      <name val="Arial"/>
      <family val="2"/>
      <scheme val="minor"/>
    </font>
    <font>
      <sz val="19"/>
      <name val="Times New Roman"/>
      <family val="1"/>
    </font>
    <font>
      <sz val="10"/>
      <name val="Arial"/>
      <family val="2"/>
    </font>
    <font>
      <sz val="14"/>
      <color rgb="FF000000"/>
      <name val="Mangal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5" fillId="0" borderId="0" xfId="0" applyFont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164" fontId="16" fillId="0" borderId="27" xfId="0" applyNumberFormat="1" applyFont="1" applyBorder="1" applyAlignment="1">
      <alignment horizontal="center" vertical="center"/>
    </xf>
    <xf numFmtId="164" fontId="16" fillId="0" borderId="14" xfId="0" applyNumberFormat="1" applyFont="1" applyBorder="1" applyAlignment="1">
      <alignment horizontal="center" vertical="center"/>
    </xf>
    <xf numFmtId="164" fontId="18" fillId="0" borderId="8" xfId="0" applyNumberFormat="1" applyFont="1" applyBorder="1" applyAlignment="1">
      <alignment horizontal="center" vertical="center"/>
    </xf>
    <xf numFmtId="49" fontId="23" fillId="0" borderId="9" xfId="0" applyNumberFormat="1" applyFont="1" applyBorder="1" applyAlignment="1">
      <alignment horizontal="center" vertical="center"/>
    </xf>
    <xf numFmtId="164" fontId="26" fillId="0" borderId="8" xfId="0" applyNumberFormat="1" applyFont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49" fontId="26" fillId="0" borderId="8" xfId="0" applyNumberFormat="1" applyFont="1" applyBorder="1" applyAlignment="1">
      <alignment horizontal="center" vertical="center"/>
    </xf>
    <xf numFmtId="49" fontId="18" fillId="0" borderId="8" xfId="0" applyNumberFormat="1" applyFont="1" applyBorder="1" applyAlignment="1">
      <alignment horizontal="center" vertical="center"/>
    </xf>
    <xf numFmtId="49" fontId="23" fillId="0" borderId="10" xfId="0" applyNumberFormat="1" applyFont="1" applyBorder="1" applyAlignment="1">
      <alignment horizontal="center" vertical="center"/>
    </xf>
    <xf numFmtId="49" fontId="26" fillId="0" borderId="14" xfId="0" applyNumberFormat="1" applyFont="1" applyBorder="1" applyAlignment="1">
      <alignment horizontal="left" vertical="center"/>
    </xf>
    <xf numFmtId="49" fontId="26" fillId="0" borderId="15" xfId="0" applyNumberFormat="1" applyFont="1" applyBorder="1" applyAlignment="1">
      <alignment horizontal="left" vertical="center"/>
    </xf>
    <xf numFmtId="49" fontId="24" fillId="0" borderId="15" xfId="0" applyNumberFormat="1" applyFont="1" applyBorder="1" applyAlignment="1">
      <alignment horizontal="left" vertical="center"/>
    </xf>
    <xf numFmtId="0" fontId="25" fillId="0" borderId="15" xfId="0" applyFont="1" applyBorder="1" applyAlignment="1">
      <alignment horizontal="left" vertical="center"/>
    </xf>
    <xf numFmtId="0" fontId="25" fillId="0" borderId="16" xfId="0" applyFont="1" applyBorder="1" applyAlignment="1">
      <alignment horizontal="left" vertical="center"/>
    </xf>
    <xf numFmtId="164" fontId="7" fillId="0" borderId="27" xfId="0" applyNumberFormat="1" applyFont="1" applyBorder="1" applyAlignment="1">
      <alignment horizontal="center" vertical="center"/>
    </xf>
    <xf numFmtId="164" fontId="30" fillId="0" borderId="7" xfId="0" applyNumberFormat="1" applyFont="1" applyBorder="1" applyAlignment="1">
      <alignment horizontal="center" vertical="center" wrapText="1"/>
    </xf>
    <xf numFmtId="164" fontId="17" fillId="0" borderId="7" xfId="0" applyNumberFormat="1" applyFont="1" applyBorder="1" applyAlignment="1">
      <alignment horizontal="center" vertical="center"/>
    </xf>
    <xf numFmtId="164" fontId="17" fillId="0" borderId="29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164" fontId="17" fillId="2" borderId="7" xfId="0" applyNumberFormat="1" applyFont="1" applyFill="1" applyBorder="1" applyAlignment="1">
      <alignment horizontal="center" vertical="center"/>
    </xf>
    <xf numFmtId="164" fontId="30" fillId="2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1" xfId="0" applyFont="1" applyBorder="1" applyAlignment="1">
      <alignment horizontal="left" vertical="center"/>
    </xf>
    <xf numFmtId="0" fontId="28" fillId="0" borderId="7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28" fillId="0" borderId="7" xfId="0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28" fillId="0" borderId="28" xfId="0" applyFont="1" applyBorder="1" applyAlignment="1">
      <alignment vertical="center" wrapText="1"/>
    </xf>
    <xf numFmtId="0" fontId="28" fillId="0" borderId="7" xfId="0" applyFont="1" applyBorder="1" applyAlignment="1">
      <alignment vertical="center"/>
    </xf>
    <xf numFmtId="0" fontId="16" fillId="0" borderId="7" xfId="0" applyFont="1" applyBorder="1" applyAlignment="1">
      <alignment vertical="center" wrapText="1"/>
    </xf>
    <xf numFmtId="164" fontId="7" fillId="0" borderId="5" xfId="0" applyNumberFormat="1" applyFont="1" applyBorder="1" applyAlignment="1">
      <alignment horizontal="center" vertical="center"/>
    </xf>
    <xf numFmtId="164" fontId="7" fillId="2" borderId="5" xfId="0" applyNumberFormat="1" applyFont="1" applyFill="1" applyBorder="1" applyAlignment="1">
      <alignment horizontal="center" vertical="center"/>
    </xf>
    <xf numFmtId="49" fontId="10" fillId="0" borderId="7" xfId="0" applyNumberFormat="1" applyFont="1" applyBorder="1" applyAlignment="1">
      <alignment vertical="center" wrapText="1"/>
    </xf>
    <xf numFmtId="49" fontId="31" fillId="0" borderId="7" xfId="0" applyNumberFormat="1" applyFont="1" applyBorder="1" applyAlignment="1">
      <alignment vertical="center" wrapText="1"/>
    </xf>
    <xf numFmtId="0" fontId="29" fillId="0" borderId="7" xfId="0" applyFont="1" applyBorder="1" applyAlignment="1">
      <alignment vertical="center" wrapText="1"/>
    </xf>
    <xf numFmtId="0" fontId="29" fillId="2" borderId="7" xfId="0" applyFont="1" applyFill="1" applyBorder="1" applyAlignment="1">
      <alignment vertical="center" wrapText="1"/>
    </xf>
    <xf numFmtId="0" fontId="27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32" fillId="0" borderId="7" xfId="0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49" fontId="10" fillId="0" borderId="0" xfId="0" applyNumberFormat="1" applyFont="1" applyAlignment="1">
      <alignment vertical="center"/>
    </xf>
    <xf numFmtId="49" fontId="24" fillId="0" borderId="11" xfId="0" applyNumberFormat="1" applyFont="1" applyBorder="1" applyAlignment="1">
      <alignment vertical="center"/>
    </xf>
    <xf numFmtId="49" fontId="24" fillId="0" borderId="12" xfId="0" applyNumberFormat="1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0" fontId="25" fillId="0" borderId="13" xfId="0" applyFont="1" applyBorder="1" applyAlignment="1">
      <alignment vertical="center"/>
    </xf>
    <xf numFmtId="164" fontId="17" fillId="3" borderId="29" xfId="0" applyNumberFormat="1" applyFont="1" applyFill="1" applyBorder="1" applyAlignment="1">
      <alignment horizontal="center" vertical="center"/>
    </xf>
    <xf numFmtId="164" fontId="30" fillId="3" borderId="30" xfId="0" applyNumberFormat="1" applyFont="1" applyFill="1" applyBorder="1" applyAlignment="1">
      <alignment horizontal="center" vertical="center" wrapText="1"/>
    </xf>
    <xf numFmtId="164" fontId="30" fillId="3" borderId="31" xfId="0" applyNumberFormat="1" applyFont="1" applyFill="1" applyBorder="1" applyAlignment="1">
      <alignment horizontal="center" vertical="center" wrapText="1"/>
    </xf>
    <xf numFmtId="164" fontId="30" fillId="3" borderId="29" xfId="0" applyNumberFormat="1" applyFont="1" applyFill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textRotation="90" wrapText="1"/>
    </xf>
    <xf numFmtId="0" fontId="12" fillId="0" borderId="4" xfId="0" applyFont="1" applyBorder="1" applyAlignment="1">
      <alignment vertical="center" textRotation="90" wrapText="1"/>
    </xf>
    <xf numFmtId="49" fontId="3" fillId="0" borderId="3" xfId="0" applyNumberFormat="1" applyFont="1" applyBorder="1" applyAlignment="1">
      <alignment horizontal="center" vertical="center" textRotation="90"/>
    </xf>
    <xf numFmtId="0" fontId="4" fillId="0" borderId="4" xfId="0" applyFont="1" applyBorder="1" applyAlignment="1">
      <alignment vertical="center"/>
    </xf>
    <xf numFmtId="49" fontId="6" fillId="0" borderId="3" xfId="0" applyNumberFormat="1" applyFont="1" applyBorder="1" applyAlignment="1">
      <alignment horizontal="center" vertical="center" textRotation="90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49" fontId="11" fillId="0" borderId="3" xfId="0" applyNumberFormat="1" applyFont="1" applyBorder="1" applyAlignment="1">
      <alignment horizontal="right" vertical="center" textRotation="90" wrapText="1"/>
    </xf>
    <xf numFmtId="0" fontId="12" fillId="0" borderId="4" xfId="0" applyFont="1" applyBorder="1" applyAlignment="1">
      <alignment horizontal="right" vertical="center" textRotation="90" wrapText="1"/>
    </xf>
    <xf numFmtId="49" fontId="14" fillId="2" borderId="18" xfId="0" applyNumberFormat="1" applyFont="1" applyFill="1" applyBorder="1" applyAlignment="1">
      <alignment horizontal="center" vertical="center" textRotation="90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14" fillId="0" borderId="17" xfId="0" applyNumberFormat="1" applyFont="1" applyBorder="1" applyAlignment="1">
      <alignment horizontal="center" vertical="center" textRotation="90"/>
    </xf>
    <xf numFmtId="0" fontId="4" fillId="0" borderId="21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49" fontId="3" fillId="0" borderId="18" xfId="0" applyNumberFormat="1" applyFont="1" applyBorder="1" applyAlignment="1">
      <alignment vertical="center"/>
    </xf>
    <xf numFmtId="49" fontId="3" fillId="0" borderId="19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49" fontId="3" fillId="0" borderId="18" xfId="0" applyNumberFormat="1" applyFont="1" applyBorder="1" applyAlignment="1">
      <alignment horizontal="center" vertical="center" textRotation="90"/>
    </xf>
    <xf numFmtId="49" fontId="14" fillId="0" borderId="18" xfId="0" applyNumberFormat="1" applyFont="1" applyBorder="1" applyAlignment="1">
      <alignment horizontal="center" vertical="center" textRotation="90"/>
    </xf>
    <xf numFmtId="49" fontId="14" fillId="0" borderId="13" xfId="0" applyNumberFormat="1" applyFont="1" applyBorder="1" applyAlignment="1">
      <alignment horizontal="center" vertical="center" textRotation="90"/>
    </xf>
    <xf numFmtId="0" fontId="21" fillId="0" borderId="22" xfId="0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49" fontId="2" fillId="0" borderId="18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X97"/>
  <sheetViews>
    <sheetView tabSelected="1" zoomScaleNormal="100" workbookViewId="0">
      <selection activeCell="A3" sqref="A3:W3"/>
    </sheetView>
  </sheetViews>
  <sheetFormatPr defaultColWidth="12.5390625" defaultRowHeight="15" customHeight="1" x14ac:dyDescent="0.15"/>
  <cols>
    <col min="1" max="1" width="5.66015625" style="30" customWidth="1"/>
    <col min="2" max="2" width="30.609375" style="30" customWidth="1"/>
    <col min="3" max="3" width="6.47265625" style="30" customWidth="1"/>
    <col min="4" max="4" width="6.875" style="30" customWidth="1"/>
    <col min="5" max="6" width="6.47265625" style="30" customWidth="1"/>
    <col min="7" max="7" width="6.3359375" style="30" customWidth="1"/>
    <col min="8" max="8" width="8.359375" style="30" customWidth="1"/>
    <col min="9" max="9" width="7.953125" style="30" customWidth="1"/>
    <col min="10" max="10" width="6.47265625" style="30" customWidth="1"/>
    <col min="11" max="11" width="7.01171875" style="30" customWidth="1"/>
    <col min="12" max="12" width="6.60546875" style="30" customWidth="1"/>
    <col min="13" max="13" width="8.62890625" style="30" customWidth="1"/>
    <col min="14" max="15" width="8.359375" style="30" customWidth="1"/>
    <col min="16" max="16" width="6.60546875" style="30" customWidth="1"/>
    <col min="17" max="17" width="7.28125" style="30" customWidth="1"/>
    <col min="18" max="18" width="6.60546875" style="30" customWidth="1"/>
    <col min="19" max="19" width="5.93359375" style="30" customWidth="1"/>
    <col min="20" max="21" width="7.4140625" style="30" customWidth="1"/>
    <col min="22" max="22" width="7.01171875" style="30" customWidth="1"/>
    <col min="23" max="23" width="7.01171875" style="45" customWidth="1"/>
    <col min="24" max="16384" width="12.5390625" style="30"/>
  </cols>
  <sheetData>
    <row r="1" spans="1:24" ht="24" customHeight="1" x14ac:dyDescent="0.15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</row>
    <row r="2" spans="1:24" ht="37.5" customHeight="1" x14ac:dyDescent="0.15">
      <c r="A2" s="73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</row>
    <row r="3" spans="1:24" ht="26.25" customHeight="1" x14ac:dyDescent="0.15">
      <c r="A3" s="75" t="s">
        <v>80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</row>
    <row r="4" spans="1:24" ht="2.25" customHeight="1" thickBot="1" x14ac:dyDescent="0.2">
      <c r="A4" s="76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</row>
    <row r="5" spans="1:24" ht="26.25" customHeight="1" x14ac:dyDescent="0.15">
      <c r="A5" s="77" t="s">
        <v>18</v>
      </c>
      <c r="B5" s="80" t="s">
        <v>2</v>
      </c>
      <c r="C5" s="81" t="s">
        <v>3</v>
      </c>
      <c r="D5" s="82"/>
      <c r="E5" s="82"/>
      <c r="F5" s="82"/>
      <c r="G5" s="83"/>
      <c r="H5" s="81" t="s">
        <v>4</v>
      </c>
      <c r="I5" s="82"/>
      <c r="J5" s="82"/>
      <c r="K5" s="82"/>
      <c r="L5" s="83"/>
      <c r="M5" s="81" t="s">
        <v>5</v>
      </c>
      <c r="N5" s="82"/>
      <c r="O5" s="82"/>
      <c r="P5" s="82"/>
      <c r="Q5" s="83"/>
      <c r="R5" s="84" t="s">
        <v>6</v>
      </c>
      <c r="S5" s="85" t="s">
        <v>19</v>
      </c>
      <c r="T5" s="85" t="s">
        <v>20</v>
      </c>
      <c r="U5" s="68" t="s">
        <v>66</v>
      </c>
      <c r="V5" s="84" t="s">
        <v>7</v>
      </c>
      <c r="W5" s="86" t="s">
        <v>8</v>
      </c>
      <c r="X5" s="1"/>
    </row>
    <row r="6" spans="1:24" ht="32.25" customHeight="1" x14ac:dyDescent="0.15">
      <c r="A6" s="78"/>
      <c r="B6" s="64"/>
      <c r="C6" s="59" t="s">
        <v>9</v>
      </c>
      <c r="D6" s="59" t="s">
        <v>10</v>
      </c>
      <c r="E6" s="59" t="s">
        <v>11</v>
      </c>
      <c r="F6" s="61" t="s">
        <v>7</v>
      </c>
      <c r="G6" s="63" t="s">
        <v>8</v>
      </c>
      <c r="H6" s="59" t="s">
        <v>12</v>
      </c>
      <c r="I6" s="59" t="s">
        <v>13</v>
      </c>
      <c r="J6" s="59" t="s">
        <v>14</v>
      </c>
      <c r="K6" s="61" t="s">
        <v>7</v>
      </c>
      <c r="L6" s="63" t="s">
        <v>8</v>
      </c>
      <c r="M6" s="66" t="s">
        <v>15</v>
      </c>
      <c r="N6" s="59" t="s">
        <v>16</v>
      </c>
      <c r="O6" s="59" t="s">
        <v>17</v>
      </c>
      <c r="P6" s="61" t="s">
        <v>7</v>
      </c>
      <c r="Q6" s="63" t="s">
        <v>8</v>
      </c>
      <c r="R6" s="64"/>
      <c r="S6" s="64"/>
      <c r="T6" s="64"/>
      <c r="U6" s="69"/>
      <c r="V6" s="64"/>
      <c r="W6" s="87"/>
      <c r="X6" s="1"/>
    </row>
    <row r="7" spans="1:24" ht="27.75" customHeight="1" x14ac:dyDescent="0.15">
      <c r="A7" s="78"/>
      <c r="B7" s="64"/>
      <c r="C7" s="60"/>
      <c r="D7" s="60"/>
      <c r="E7" s="60"/>
      <c r="F7" s="62"/>
      <c r="G7" s="64"/>
      <c r="H7" s="60"/>
      <c r="I7" s="60"/>
      <c r="J7" s="60"/>
      <c r="K7" s="62"/>
      <c r="L7" s="64"/>
      <c r="M7" s="67"/>
      <c r="N7" s="60"/>
      <c r="O7" s="60"/>
      <c r="P7" s="62"/>
      <c r="Q7" s="64"/>
      <c r="R7" s="62"/>
      <c r="S7" s="62"/>
      <c r="T7" s="62"/>
      <c r="U7" s="70"/>
      <c r="V7" s="62"/>
      <c r="W7" s="87"/>
      <c r="X7" s="1"/>
    </row>
    <row r="8" spans="1:24" ht="44.25" customHeight="1" thickBot="1" x14ac:dyDescent="0.2">
      <c r="A8" s="79"/>
      <c r="B8" s="65"/>
      <c r="C8" s="39">
        <v>10</v>
      </c>
      <c r="D8" s="39">
        <v>10</v>
      </c>
      <c r="E8" s="39">
        <v>5</v>
      </c>
      <c r="F8" s="39">
        <v>25</v>
      </c>
      <c r="G8" s="65"/>
      <c r="H8" s="39">
        <v>10</v>
      </c>
      <c r="I8" s="39">
        <v>10</v>
      </c>
      <c r="J8" s="39">
        <v>5</v>
      </c>
      <c r="K8" s="39">
        <v>25</v>
      </c>
      <c r="L8" s="65"/>
      <c r="M8" s="39">
        <v>10</v>
      </c>
      <c r="N8" s="39">
        <v>10</v>
      </c>
      <c r="O8" s="39">
        <v>5</v>
      </c>
      <c r="P8" s="39">
        <v>25</v>
      </c>
      <c r="Q8" s="65"/>
      <c r="R8" s="39">
        <v>20</v>
      </c>
      <c r="S8" s="39">
        <v>20</v>
      </c>
      <c r="T8" s="39">
        <v>20</v>
      </c>
      <c r="U8" s="40">
        <v>20</v>
      </c>
      <c r="V8" s="39">
        <v>80</v>
      </c>
      <c r="W8" s="88"/>
      <c r="X8" s="1"/>
    </row>
    <row r="9" spans="1:24" ht="15.75" customHeight="1" x14ac:dyDescent="0.15">
      <c r="A9" s="7"/>
      <c r="B9" s="33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  <c r="Q9" s="3"/>
      <c r="R9" s="3"/>
      <c r="S9" s="3"/>
      <c r="T9" s="5"/>
      <c r="U9" s="27"/>
      <c r="V9" s="6"/>
      <c r="W9" s="8"/>
      <c r="X9" s="1"/>
    </row>
    <row r="10" spans="1:24" ht="35.1" customHeight="1" x14ac:dyDescent="0.25">
      <c r="A10" s="23">
        <v>1</v>
      </c>
      <c r="B10" s="34" t="s">
        <v>25</v>
      </c>
      <c r="C10" s="24">
        <v>5</v>
      </c>
      <c r="D10" s="24">
        <v>5</v>
      </c>
      <c r="E10" s="24">
        <v>5</v>
      </c>
      <c r="F10" s="24">
        <f>SUM(C10:E10)</f>
        <v>15</v>
      </c>
      <c r="G10" s="24" t="str">
        <f t="shared" ref="G10:G30" si="0">IF(F10&gt;17,$L$41,IF(F10&gt;14,$M$41,IF(F10&gt;11,$N$41)))</f>
        <v xml:space="preserve">ब </v>
      </c>
      <c r="H10" s="24">
        <v>7</v>
      </c>
      <c r="I10" s="24">
        <v>6</v>
      </c>
      <c r="J10" s="24">
        <v>4</v>
      </c>
      <c r="K10" s="24">
        <f>SUM(H10:J10)</f>
        <v>17</v>
      </c>
      <c r="L10" s="24" t="str">
        <f t="shared" ref="L10:L30" si="1">IF(K10&gt;17,$L$41,IF(K10&gt;14,$M$41,IF(K10&gt;11,$N$41)))</f>
        <v xml:space="preserve">ब </v>
      </c>
      <c r="M10" s="24">
        <v>9</v>
      </c>
      <c r="N10" s="24">
        <v>7</v>
      </c>
      <c r="O10" s="24">
        <v>5</v>
      </c>
      <c r="P10" s="24">
        <f>SUM(M10:O10)</f>
        <v>21</v>
      </c>
      <c r="Q10" s="24" t="str">
        <f t="shared" ref="Q10:Q30" si="2">IF(P10&gt;17,$L$41,IF(P10&gt;14,$M$41,IF(P10&gt;11,$N$41)))</f>
        <v xml:space="preserve">अ </v>
      </c>
      <c r="R10" s="25">
        <v>17</v>
      </c>
      <c r="S10" s="25">
        <v>15</v>
      </c>
      <c r="T10" s="25">
        <v>19</v>
      </c>
      <c r="U10" s="28">
        <v>19</v>
      </c>
      <c r="V10" s="24">
        <v>48</v>
      </c>
      <c r="W10" s="24" t="str">
        <f>IF(V10&gt;=60,"अ",IF(V10&gt;=48,"ब",IF(V10&gt;=40,"क",IF(V10&gt;=28,"ड","इ"))))</f>
        <v>ब</v>
      </c>
      <c r="X10" s="1"/>
    </row>
    <row r="11" spans="1:24" ht="35.1" customHeight="1" x14ac:dyDescent="0.25">
      <c r="A11" s="9">
        <v>2</v>
      </c>
      <c r="B11" s="34" t="s">
        <v>26</v>
      </c>
      <c r="C11" s="24">
        <v>7</v>
      </c>
      <c r="D11" s="24">
        <v>6</v>
      </c>
      <c r="E11" s="24">
        <v>4</v>
      </c>
      <c r="F11" s="24">
        <f t="shared" ref="F11:F35" si="3">SUM(C11:E11)</f>
        <v>17</v>
      </c>
      <c r="G11" s="24" t="str">
        <f t="shared" si="0"/>
        <v xml:space="preserve">ब </v>
      </c>
      <c r="H11" s="24">
        <v>8</v>
      </c>
      <c r="I11" s="24">
        <v>7</v>
      </c>
      <c r="J11" s="24">
        <v>4</v>
      </c>
      <c r="K11" s="24">
        <f t="shared" ref="K11:K35" si="4">SUM(H11:J11)</f>
        <v>19</v>
      </c>
      <c r="L11" s="24" t="str">
        <f t="shared" si="1"/>
        <v xml:space="preserve">अ </v>
      </c>
      <c r="M11" s="24">
        <v>6</v>
      </c>
      <c r="N11" s="24">
        <v>7</v>
      </c>
      <c r="O11" s="24">
        <v>4</v>
      </c>
      <c r="P11" s="24">
        <f t="shared" ref="P11:P35" si="5">SUM(M11:O11)</f>
        <v>17</v>
      </c>
      <c r="Q11" s="24" t="str">
        <f t="shared" si="2"/>
        <v xml:space="preserve">ब </v>
      </c>
      <c r="R11" s="25">
        <v>18</v>
      </c>
      <c r="S11" s="25">
        <v>16</v>
      </c>
      <c r="T11" s="25">
        <v>19</v>
      </c>
      <c r="U11" s="28">
        <v>19</v>
      </c>
      <c r="V11" s="24">
        <v>40</v>
      </c>
      <c r="W11" s="24" t="str">
        <f t="shared" ref="W11:W30" si="6">IF(V11&gt;=60,"अ",IF(V11&gt;=48,"ब",IF(V11&gt;=40,"क",IF(V11&gt;=28,"ड","इ"))))</f>
        <v>क</v>
      </c>
      <c r="X11" s="1"/>
    </row>
    <row r="12" spans="1:24" ht="35.1" customHeight="1" x14ac:dyDescent="0.25">
      <c r="A12" s="23">
        <v>3</v>
      </c>
      <c r="B12" s="34" t="s">
        <v>27</v>
      </c>
      <c r="C12" s="24">
        <v>9</v>
      </c>
      <c r="D12" s="24">
        <v>7</v>
      </c>
      <c r="E12" s="24">
        <v>5</v>
      </c>
      <c r="F12" s="24">
        <f t="shared" si="3"/>
        <v>21</v>
      </c>
      <c r="G12" s="24" t="str">
        <f t="shared" si="0"/>
        <v xml:space="preserve">अ </v>
      </c>
      <c r="H12" s="24">
        <v>8</v>
      </c>
      <c r="I12" s="24">
        <v>7</v>
      </c>
      <c r="J12" s="24">
        <v>4</v>
      </c>
      <c r="K12" s="24">
        <f t="shared" si="4"/>
        <v>19</v>
      </c>
      <c r="L12" s="24" t="str">
        <f t="shared" si="1"/>
        <v xml:space="preserve">अ </v>
      </c>
      <c r="M12" s="24">
        <v>8</v>
      </c>
      <c r="N12" s="24">
        <v>9</v>
      </c>
      <c r="O12" s="24">
        <v>5</v>
      </c>
      <c r="P12" s="24">
        <f t="shared" si="5"/>
        <v>22</v>
      </c>
      <c r="Q12" s="24" t="str">
        <f t="shared" si="2"/>
        <v xml:space="preserve">अ </v>
      </c>
      <c r="R12" s="25">
        <v>18</v>
      </c>
      <c r="S12" s="25">
        <v>14</v>
      </c>
      <c r="T12" s="25">
        <v>18</v>
      </c>
      <c r="U12" s="25">
        <v>18</v>
      </c>
      <c r="V12" s="24">
        <f t="shared" ref="V11:V35" si="7">SUM(R12:T12)</f>
        <v>50</v>
      </c>
      <c r="W12" s="24" t="str">
        <f t="shared" si="6"/>
        <v>ब</v>
      </c>
      <c r="X12" s="1"/>
    </row>
    <row r="13" spans="1:24" ht="35.1" customHeight="1" x14ac:dyDescent="0.25">
      <c r="A13" s="23">
        <v>4</v>
      </c>
      <c r="B13" s="34" t="s">
        <v>70</v>
      </c>
      <c r="C13" s="24">
        <v>7</v>
      </c>
      <c r="D13" s="24">
        <v>6</v>
      </c>
      <c r="E13" s="24">
        <v>5</v>
      </c>
      <c r="F13" s="24">
        <f t="shared" ref="F13" si="8">SUM(C13:E13)</f>
        <v>18</v>
      </c>
      <c r="G13" s="24" t="str">
        <f t="shared" si="0"/>
        <v xml:space="preserve">अ </v>
      </c>
      <c r="H13" s="24">
        <v>8</v>
      </c>
      <c r="I13" s="24">
        <v>8</v>
      </c>
      <c r="J13" s="24">
        <v>4</v>
      </c>
      <c r="K13" s="24">
        <f t="shared" ref="K13" si="9">SUM(H13:J13)</f>
        <v>20</v>
      </c>
      <c r="L13" s="24" t="str">
        <f t="shared" si="1"/>
        <v xml:space="preserve">अ </v>
      </c>
      <c r="M13" s="24">
        <v>9</v>
      </c>
      <c r="N13" s="24">
        <v>8</v>
      </c>
      <c r="O13" s="24">
        <v>5</v>
      </c>
      <c r="P13" s="24">
        <f t="shared" ref="P13" si="10">SUM(M13:O13)</f>
        <v>22</v>
      </c>
      <c r="Q13" s="24" t="str">
        <f t="shared" si="2"/>
        <v xml:space="preserve">अ </v>
      </c>
      <c r="R13" s="25">
        <v>19</v>
      </c>
      <c r="S13" s="25">
        <v>12</v>
      </c>
      <c r="T13" s="25">
        <v>16</v>
      </c>
      <c r="U13" s="28">
        <v>16</v>
      </c>
      <c r="V13" s="24">
        <f>SUM(R13:U13)</f>
        <v>63</v>
      </c>
      <c r="W13" s="24" t="str">
        <f t="shared" si="6"/>
        <v>अ</v>
      </c>
      <c r="X13" s="1"/>
    </row>
    <row r="14" spans="1:24" ht="35.1" customHeight="1" x14ac:dyDescent="0.25">
      <c r="A14" s="9">
        <v>5</v>
      </c>
      <c r="B14" s="34" t="s">
        <v>28</v>
      </c>
      <c r="C14" s="24">
        <v>9</v>
      </c>
      <c r="D14" s="24">
        <v>8</v>
      </c>
      <c r="E14" s="24">
        <v>5</v>
      </c>
      <c r="F14" s="24">
        <f t="shared" si="3"/>
        <v>22</v>
      </c>
      <c r="G14" s="24" t="str">
        <f t="shared" si="0"/>
        <v xml:space="preserve">अ </v>
      </c>
      <c r="H14" s="24">
        <v>8</v>
      </c>
      <c r="I14" s="24">
        <v>7</v>
      </c>
      <c r="J14" s="24">
        <v>4</v>
      </c>
      <c r="K14" s="24">
        <f t="shared" si="4"/>
        <v>19</v>
      </c>
      <c r="L14" s="24" t="str">
        <f t="shared" si="1"/>
        <v xml:space="preserve">अ </v>
      </c>
      <c r="M14" s="24">
        <v>7</v>
      </c>
      <c r="N14" s="24">
        <v>8</v>
      </c>
      <c r="O14" s="24">
        <v>5</v>
      </c>
      <c r="P14" s="24">
        <f t="shared" si="5"/>
        <v>20</v>
      </c>
      <c r="Q14" s="24" t="str">
        <f t="shared" si="2"/>
        <v xml:space="preserve">अ </v>
      </c>
      <c r="R14" s="25">
        <v>19</v>
      </c>
      <c r="S14" s="25">
        <v>15</v>
      </c>
      <c r="T14" s="25">
        <v>15</v>
      </c>
      <c r="U14" s="28">
        <v>19</v>
      </c>
      <c r="V14" s="24">
        <f>SUM(R14:U14)</f>
        <v>68</v>
      </c>
      <c r="W14" s="24" t="str">
        <f t="shared" si="6"/>
        <v>अ</v>
      </c>
      <c r="X14" s="1"/>
    </row>
    <row r="15" spans="1:24" ht="35.1" customHeight="1" x14ac:dyDescent="0.25">
      <c r="A15" s="23">
        <v>6</v>
      </c>
      <c r="B15" s="35" t="s">
        <v>44</v>
      </c>
      <c r="C15" s="24">
        <v>10</v>
      </c>
      <c r="D15" s="24">
        <v>7</v>
      </c>
      <c r="E15" s="24">
        <v>4</v>
      </c>
      <c r="F15" s="24">
        <f t="shared" si="3"/>
        <v>21</v>
      </c>
      <c r="G15" s="24" t="str">
        <f t="shared" si="0"/>
        <v xml:space="preserve">अ </v>
      </c>
      <c r="H15" s="24">
        <v>6</v>
      </c>
      <c r="I15" s="24">
        <v>7</v>
      </c>
      <c r="J15" s="24">
        <v>4</v>
      </c>
      <c r="K15" s="24">
        <f t="shared" si="4"/>
        <v>17</v>
      </c>
      <c r="L15" s="24" t="str">
        <f t="shared" si="1"/>
        <v xml:space="preserve">ब </v>
      </c>
      <c r="M15" s="24">
        <v>7</v>
      </c>
      <c r="N15" s="24">
        <v>6</v>
      </c>
      <c r="O15" s="24">
        <v>4</v>
      </c>
      <c r="P15" s="24">
        <f t="shared" si="5"/>
        <v>17</v>
      </c>
      <c r="Q15" s="24" t="str">
        <f t="shared" si="2"/>
        <v xml:space="preserve">ब </v>
      </c>
      <c r="R15" s="25">
        <v>18</v>
      </c>
      <c r="S15" s="25">
        <v>17</v>
      </c>
      <c r="T15" s="25">
        <v>15</v>
      </c>
      <c r="U15" s="28">
        <v>16</v>
      </c>
      <c r="V15" s="24">
        <f>SUM(R15:U15)</f>
        <v>66</v>
      </c>
      <c r="W15" s="24" t="str">
        <f t="shared" si="6"/>
        <v>अ</v>
      </c>
      <c r="X15" s="1"/>
    </row>
    <row r="16" spans="1:24" ht="35.1" customHeight="1" x14ac:dyDescent="0.25">
      <c r="A16" s="23">
        <v>7</v>
      </c>
      <c r="B16" s="34" t="s">
        <v>29</v>
      </c>
      <c r="C16" s="24">
        <v>6</v>
      </c>
      <c r="D16" s="24">
        <v>9</v>
      </c>
      <c r="E16" s="24">
        <v>5</v>
      </c>
      <c r="F16" s="24">
        <f t="shared" si="3"/>
        <v>20</v>
      </c>
      <c r="G16" s="24" t="str">
        <f t="shared" si="0"/>
        <v xml:space="preserve">अ </v>
      </c>
      <c r="H16" s="24">
        <v>8</v>
      </c>
      <c r="I16" s="24">
        <v>6</v>
      </c>
      <c r="J16" s="24">
        <v>4</v>
      </c>
      <c r="K16" s="24">
        <f t="shared" si="4"/>
        <v>18</v>
      </c>
      <c r="L16" s="24" t="str">
        <f t="shared" si="1"/>
        <v xml:space="preserve">अ </v>
      </c>
      <c r="M16" s="24">
        <v>9</v>
      </c>
      <c r="N16" s="24">
        <v>10</v>
      </c>
      <c r="O16" s="24">
        <v>5</v>
      </c>
      <c r="P16" s="24">
        <f t="shared" si="5"/>
        <v>24</v>
      </c>
      <c r="Q16" s="24" t="str">
        <f t="shared" si="2"/>
        <v xml:space="preserve">अ </v>
      </c>
      <c r="R16" s="25">
        <v>14</v>
      </c>
      <c r="S16" s="25">
        <v>14</v>
      </c>
      <c r="T16" s="25">
        <v>19</v>
      </c>
      <c r="U16" s="28">
        <v>19</v>
      </c>
      <c r="V16" s="24">
        <f>SUM(R16:U16)</f>
        <v>66</v>
      </c>
      <c r="W16" s="24" t="str">
        <f t="shared" si="6"/>
        <v>अ</v>
      </c>
      <c r="X16" s="1"/>
    </row>
    <row r="17" spans="1:24" ht="35.1" customHeight="1" x14ac:dyDescent="0.25">
      <c r="A17" s="9">
        <v>8</v>
      </c>
      <c r="B17" s="36" t="s">
        <v>65</v>
      </c>
      <c r="C17" s="24">
        <v>10</v>
      </c>
      <c r="D17" s="24">
        <v>9</v>
      </c>
      <c r="E17" s="24">
        <v>5</v>
      </c>
      <c r="F17" s="24">
        <f t="shared" si="3"/>
        <v>24</v>
      </c>
      <c r="G17" s="24" t="str">
        <f t="shared" si="0"/>
        <v xml:space="preserve">अ </v>
      </c>
      <c r="H17" s="24">
        <v>8</v>
      </c>
      <c r="I17" s="24">
        <v>9</v>
      </c>
      <c r="J17" s="24">
        <v>4</v>
      </c>
      <c r="K17" s="24">
        <f t="shared" si="4"/>
        <v>21</v>
      </c>
      <c r="L17" s="24" t="str">
        <f t="shared" si="1"/>
        <v xml:space="preserve">अ </v>
      </c>
      <c r="M17" s="24">
        <v>9</v>
      </c>
      <c r="N17" s="24">
        <v>9</v>
      </c>
      <c r="O17" s="24">
        <v>4</v>
      </c>
      <c r="P17" s="24">
        <f t="shared" si="5"/>
        <v>22</v>
      </c>
      <c r="Q17" s="24" t="str">
        <f t="shared" si="2"/>
        <v xml:space="preserve">अ </v>
      </c>
      <c r="R17" s="25">
        <v>19</v>
      </c>
      <c r="S17" s="25">
        <v>14</v>
      </c>
      <c r="T17" s="25">
        <v>16</v>
      </c>
      <c r="U17" s="28">
        <v>19</v>
      </c>
      <c r="V17" s="24">
        <f>SUM(R17:U17)</f>
        <v>68</v>
      </c>
      <c r="W17" s="24" t="str">
        <f t="shared" si="6"/>
        <v>अ</v>
      </c>
      <c r="X17" s="1"/>
    </row>
    <row r="18" spans="1:24" ht="35.1" customHeight="1" x14ac:dyDescent="0.25">
      <c r="A18" s="23">
        <v>9</v>
      </c>
      <c r="B18" s="36" t="s">
        <v>71</v>
      </c>
      <c r="C18" s="24">
        <v>8</v>
      </c>
      <c r="D18" s="24">
        <v>9</v>
      </c>
      <c r="E18" s="24">
        <v>5</v>
      </c>
      <c r="F18" s="24">
        <f t="shared" si="3"/>
        <v>22</v>
      </c>
      <c r="G18" s="24" t="str">
        <f t="shared" si="0"/>
        <v xml:space="preserve">अ </v>
      </c>
      <c r="H18" s="24">
        <v>8</v>
      </c>
      <c r="I18" s="24">
        <v>8</v>
      </c>
      <c r="J18" s="24">
        <v>5</v>
      </c>
      <c r="K18" s="24">
        <f t="shared" si="4"/>
        <v>21</v>
      </c>
      <c r="L18" s="24" t="str">
        <f t="shared" si="1"/>
        <v xml:space="preserve">अ </v>
      </c>
      <c r="M18" s="24">
        <v>8</v>
      </c>
      <c r="N18" s="24">
        <v>9</v>
      </c>
      <c r="O18" s="24">
        <v>4</v>
      </c>
      <c r="P18" s="24">
        <f t="shared" si="5"/>
        <v>21</v>
      </c>
      <c r="Q18" s="24" t="str">
        <f t="shared" si="2"/>
        <v xml:space="preserve">अ </v>
      </c>
      <c r="R18" s="25">
        <v>19</v>
      </c>
      <c r="S18" s="25">
        <v>15</v>
      </c>
      <c r="T18" s="25">
        <v>19</v>
      </c>
      <c r="U18" s="28">
        <v>18</v>
      </c>
      <c r="V18" s="24">
        <f>SUM(R18:U18)</f>
        <v>71</v>
      </c>
      <c r="W18" s="24" t="str">
        <f t="shared" si="6"/>
        <v>अ</v>
      </c>
      <c r="X18" s="1"/>
    </row>
    <row r="19" spans="1:24" ht="35.1" customHeight="1" x14ac:dyDescent="0.25">
      <c r="A19" s="23">
        <v>10</v>
      </c>
      <c r="B19" s="34" t="s">
        <v>39</v>
      </c>
      <c r="C19" s="24">
        <v>8</v>
      </c>
      <c r="D19" s="24">
        <v>9</v>
      </c>
      <c r="E19" s="24">
        <v>5</v>
      </c>
      <c r="F19" s="24">
        <f t="shared" si="3"/>
        <v>22</v>
      </c>
      <c r="G19" s="24" t="str">
        <f t="shared" si="0"/>
        <v xml:space="preserve">अ </v>
      </c>
      <c r="H19" s="24">
        <v>7</v>
      </c>
      <c r="I19" s="24">
        <v>6</v>
      </c>
      <c r="J19" s="24">
        <v>4</v>
      </c>
      <c r="K19" s="24">
        <f t="shared" si="4"/>
        <v>17</v>
      </c>
      <c r="L19" s="24" t="str">
        <f t="shared" si="1"/>
        <v xml:space="preserve">ब </v>
      </c>
      <c r="M19" s="24">
        <v>7</v>
      </c>
      <c r="N19" s="24">
        <v>6</v>
      </c>
      <c r="O19" s="24">
        <v>4</v>
      </c>
      <c r="P19" s="24">
        <f t="shared" si="5"/>
        <v>17</v>
      </c>
      <c r="Q19" s="24" t="str">
        <f t="shared" si="2"/>
        <v xml:space="preserve">ब </v>
      </c>
      <c r="R19" s="25">
        <v>18</v>
      </c>
      <c r="S19" s="25">
        <v>15</v>
      </c>
      <c r="T19" s="25">
        <v>17</v>
      </c>
      <c r="U19" s="28">
        <v>14</v>
      </c>
      <c r="V19" s="24">
        <f>SUM(R19:U19)</f>
        <v>64</v>
      </c>
      <c r="W19" s="24" t="str">
        <f t="shared" si="6"/>
        <v>अ</v>
      </c>
      <c r="X19" s="1"/>
    </row>
    <row r="20" spans="1:24" ht="35.1" customHeight="1" x14ac:dyDescent="0.25">
      <c r="A20" s="9">
        <v>11</v>
      </c>
      <c r="B20" s="34" t="s">
        <v>30</v>
      </c>
      <c r="C20" s="24">
        <v>6</v>
      </c>
      <c r="D20" s="24">
        <v>6</v>
      </c>
      <c r="E20" s="24">
        <v>3</v>
      </c>
      <c r="F20" s="24">
        <f t="shared" si="3"/>
        <v>15</v>
      </c>
      <c r="G20" s="24" t="str">
        <f t="shared" si="0"/>
        <v xml:space="preserve">ब </v>
      </c>
      <c r="H20" s="24">
        <v>6</v>
      </c>
      <c r="I20" s="24">
        <v>5</v>
      </c>
      <c r="J20" s="24">
        <v>3</v>
      </c>
      <c r="K20" s="24">
        <f t="shared" si="4"/>
        <v>14</v>
      </c>
      <c r="L20" s="24" t="str">
        <f t="shared" si="1"/>
        <v xml:space="preserve">क </v>
      </c>
      <c r="M20" s="24">
        <v>6</v>
      </c>
      <c r="N20" s="24">
        <v>5</v>
      </c>
      <c r="O20" s="24">
        <v>4</v>
      </c>
      <c r="P20" s="24">
        <f t="shared" si="5"/>
        <v>15</v>
      </c>
      <c r="Q20" s="24" t="str">
        <f t="shared" si="2"/>
        <v xml:space="preserve">ब </v>
      </c>
      <c r="R20" s="25">
        <v>13</v>
      </c>
      <c r="S20" s="25">
        <v>9</v>
      </c>
      <c r="T20" s="25">
        <v>6</v>
      </c>
      <c r="U20" s="28">
        <v>6</v>
      </c>
      <c r="V20" s="24">
        <f>SUM(R20:U20)</f>
        <v>34</v>
      </c>
      <c r="W20" s="24" t="str">
        <f t="shared" si="6"/>
        <v>ड</v>
      </c>
      <c r="X20" s="1"/>
    </row>
    <row r="21" spans="1:24" ht="35.1" customHeight="1" x14ac:dyDescent="0.25">
      <c r="A21" s="23">
        <v>12</v>
      </c>
      <c r="B21" s="37" t="s">
        <v>31</v>
      </c>
      <c r="C21" s="24">
        <v>6</v>
      </c>
      <c r="D21" s="24">
        <v>8</v>
      </c>
      <c r="E21" s="24">
        <v>4</v>
      </c>
      <c r="F21" s="24">
        <f t="shared" si="3"/>
        <v>18</v>
      </c>
      <c r="G21" s="24" t="str">
        <f t="shared" si="0"/>
        <v xml:space="preserve">अ </v>
      </c>
      <c r="H21" s="24">
        <v>8</v>
      </c>
      <c r="I21" s="24">
        <v>9</v>
      </c>
      <c r="J21" s="24">
        <v>5</v>
      </c>
      <c r="K21" s="24">
        <f t="shared" si="4"/>
        <v>22</v>
      </c>
      <c r="L21" s="24" t="str">
        <f t="shared" si="1"/>
        <v xml:space="preserve">अ </v>
      </c>
      <c r="M21" s="24">
        <v>9</v>
      </c>
      <c r="N21" s="24">
        <v>9</v>
      </c>
      <c r="O21" s="24">
        <v>5</v>
      </c>
      <c r="P21" s="24">
        <f t="shared" si="5"/>
        <v>23</v>
      </c>
      <c r="Q21" s="24" t="str">
        <f t="shared" si="2"/>
        <v xml:space="preserve">अ </v>
      </c>
      <c r="R21" s="25">
        <v>18</v>
      </c>
      <c r="S21" s="25">
        <v>15</v>
      </c>
      <c r="T21" s="25">
        <v>16</v>
      </c>
      <c r="U21" s="28">
        <v>17</v>
      </c>
      <c r="V21" s="24">
        <f>SUM(R21:U21)</f>
        <v>66</v>
      </c>
      <c r="W21" s="24" t="str">
        <f t="shared" si="6"/>
        <v>अ</v>
      </c>
      <c r="X21" s="1"/>
    </row>
    <row r="22" spans="1:24" ht="35.1" customHeight="1" x14ac:dyDescent="0.25">
      <c r="A22" s="23">
        <v>13</v>
      </c>
      <c r="B22" s="36" t="s">
        <v>40</v>
      </c>
      <c r="C22" s="24">
        <v>6</v>
      </c>
      <c r="D22" s="24">
        <v>6</v>
      </c>
      <c r="E22" s="24">
        <v>4</v>
      </c>
      <c r="F22" s="24">
        <f t="shared" si="3"/>
        <v>16</v>
      </c>
      <c r="G22" s="24" t="str">
        <f t="shared" si="0"/>
        <v xml:space="preserve">ब </v>
      </c>
      <c r="H22" s="24">
        <v>6</v>
      </c>
      <c r="I22" s="24">
        <v>5</v>
      </c>
      <c r="J22" s="24">
        <v>3</v>
      </c>
      <c r="K22" s="24">
        <f t="shared" si="4"/>
        <v>14</v>
      </c>
      <c r="L22" s="24" t="str">
        <f t="shared" si="1"/>
        <v xml:space="preserve">क </v>
      </c>
      <c r="M22" s="24">
        <v>9</v>
      </c>
      <c r="N22" s="24">
        <v>8</v>
      </c>
      <c r="O22" s="24">
        <v>3</v>
      </c>
      <c r="P22" s="24">
        <f t="shared" si="5"/>
        <v>20</v>
      </c>
      <c r="Q22" s="24" t="str">
        <f t="shared" si="2"/>
        <v xml:space="preserve">अ </v>
      </c>
      <c r="R22" s="25">
        <v>12</v>
      </c>
      <c r="S22" s="25">
        <v>13</v>
      </c>
      <c r="T22" s="25">
        <v>10</v>
      </c>
      <c r="U22" s="28">
        <v>13</v>
      </c>
      <c r="V22" s="24">
        <f>SUM(R22:U22)</f>
        <v>48</v>
      </c>
      <c r="W22" s="24" t="str">
        <f t="shared" si="6"/>
        <v>ब</v>
      </c>
      <c r="X22" s="1"/>
    </row>
    <row r="23" spans="1:24" ht="35.1" customHeight="1" x14ac:dyDescent="0.25">
      <c r="A23" s="9">
        <v>14</v>
      </c>
      <c r="B23" s="34" t="s">
        <v>33</v>
      </c>
      <c r="C23" s="24">
        <v>6</v>
      </c>
      <c r="D23" s="24">
        <v>8</v>
      </c>
      <c r="E23" s="24">
        <v>4</v>
      </c>
      <c r="F23" s="24">
        <f t="shared" si="3"/>
        <v>18</v>
      </c>
      <c r="G23" s="24" t="str">
        <f t="shared" si="0"/>
        <v xml:space="preserve">अ </v>
      </c>
      <c r="H23" s="24">
        <v>7</v>
      </c>
      <c r="I23" s="24">
        <v>7</v>
      </c>
      <c r="J23" s="24">
        <v>4</v>
      </c>
      <c r="K23" s="24">
        <f t="shared" si="4"/>
        <v>18</v>
      </c>
      <c r="L23" s="24" t="str">
        <f t="shared" si="1"/>
        <v xml:space="preserve">अ </v>
      </c>
      <c r="M23" s="24">
        <v>9</v>
      </c>
      <c r="N23" s="24">
        <v>9</v>
      </c>
      <c r="O23" s="24">
        <v>4</v>
      </c>
      <c r="P23" s="24">
        <f t="shared" si="5"/>
        <v>22</v>
      </c>
      <c r="Q23" s="24" t="str">
        <f t="shared" si="2"/>
        <v xml:space="preserve">अ </v>
      </c>
      <c r="R23" s="25">
        <v>11</v>
      </c>
      <c r="S23" s="25">
        <v>18</v>
      </c>
      <c r="T23" s="25">
        <v>13</v>
      </c>
      <c r="U23" s="28">
        <v>16</v>
      </c>
      <c r="V23" s="24">
        <f>SUM(R23:U23)</f>
        <v>58</v>
      </c>
      <c r="W23" s="24" t="str">
        <f t="shared" si="6"/>
        <v>ब</v>
      </c>
      <c r="X23" s="1"/>
    </row>
    <row r="24" spans="1:24" ht="35.1" customHeight="1" x14ac:dyDescent="0.25">
      <c r="A24" s="23">
        <v>15</v>
      </c>
      <c r="B24" s="34" t="s">
        <v>72</v>
      </c>
      <c r="C24" s="24">
        <v>7</v>
      </c>
      <c r="D24" s="24">
        <v>9</v>
      </c>
      <c r="E24" s="24">
        <v>4</v>
      </c>
      <c r="F24" s="24">
        <f t="shared" si="3"/>
        <v>20</v>
      </c>
      <c r="G24" s="24" t="str">
        <f t="shared" si="0"/>
        <v xml:space="preserve">अ </v>
      </c>
      <c r="H24" s="24">
        <v>8</v>
      </c>
      <c r="I24" s="24">
        <v>9</v>
      </c>
      <c r="J24" s="24">
        <v>4</v>
      </c>
      <c r="K24" s="24">
        <f t="shared" si="4"/>
        <v>21</v>
      </c>
      <c r="L24" s="24" t="str">
        <f t="shared" si="1"/>
        <v xml:space="preserve">अ </v>
      </c>
      <c r="M24" s="24">
        <v>8</v>
      </c>
      <c r="N24" s="24">
        <v>9</v>
      </c>
      <c r="O24" s="24">
        <v>5</v>
      </c>
      <c r="P24" s="24">
        <f t="shared" si="5"/>
        <v>22</v>
      </c>
      <c r="Q24" s="24" t="str">
        <f t="shared" si="2"/>
        <v xml:space="preserve">अ </v>
      </c>
      <c r="R24" s="25">
        <v>20</v>
      </c>
      <c r="S24" s="25">
        <v>19</v>
      </c>
      <c r="T24" s="25">
        <v>18</v>
      </c>
      <c r="U24" s="28">
        <v>20</v>
      </c>
      <c r="V24" s="24">
        <f>SUM(R24:U24)</f>
        <v>77</v>
      </c>
      <c r="W24" s="24" t="str">
        <f t="shared" si="6"/>
        <v>अ</v>
      </c>
      <c r="X24" s="1"/>
    </row>
    <row r="25" spans="1:24" ht="35.1" customHeight="1" x14ac:dyDescent="0.25">
      <c r="A25" s="23">
        <v>16</v>
      </c>
      <c r="B25" s="34" t="s">
        <v>34</v>
      </c>
      <c r="C25" s="24">
        <v>5</v>
      </c>
      <c r="D25" s="24">
        <v>6</v>
      </c>
      <c r="E25" s="24">
        <v>3</v>
      </c>
      <c r="F25" s="24">
        <f>SUM(C25:E25)</f>
        <v>14</v>
      </c>
      <c r="G25" s="24" t="str">
        <f t="shared" si="0"/>
        <v xml:space="preserve">क </v>
      </c>
      <c r="H25" s="24">
        <v>7</v>
      </c>
      <c r="I25" s="24">
        <v>6</v>
      </c>
      <c r="J25" s="24">
        <v>4</v>
      </c>
      <c r="K25" s="24">
        <f>SUM(H25:J25)</f>
        <v>17</v>
      </c>
      <c r="L25" s="24" t="str">
        <f t="shared" si="1"/>
        <v xml:space="preserve">ब </v>
      </c>
      <c r="M25" s="24">
        <v>6</v>
      </c>
      <c r="N25" s="24">
        <v>6</v>
      </c>
      <c r="O25" s="24">
        <v>4</v>
      </c>
      <c r="P25" s="24">
        <f>SUM(M25:O25)</f>
        <v>16</v>
      </c>
      <c r="Q25" s="24" t="str">
        <f t="shared" si="2"/>
        <v xml:space="preserve">ब </v>
      </c>
      <c r="R25" s="25">
        <v>15</v>
      </c>
      <c r="S25" s="25">
        <v>14</v>
      </c>
      <c r="T25" s="25">
        <v>15</v>
      </c>
      <c r="U25" s="28">
        <v>17</v>
      </c>
      <c r="V25" s="24">
        <f>SUM(R25:U25)</f>
        <v>61</v>
      </c>
      <c r="W25" s="24" t="str">
        <f t="shared" si="6"/>
        <v>अ</v>
      </c>
      <c r="X25" s="1"/>
    </row>
    <row r="26" spans="1:24" ht="35.1" customHeight="1" x14ac:dyDescent="0.25">
      <c r="A26" s="9">
        <v>17</v>
      </c>
      <c r="B26" s="36" t="s">
        <v>41</v>
      </c>
      <c r="C26" s="24">
        <v>6</v>
      </c>
      <c r="D26" s="24">
        <v>7</v>
      </c>
      <c r="E26" s="24">
        <v>3</v>
      </c>
      <c r="F26" s="24">
        <f>SUM(C26:E26)</f>
        <v>16</v>
      </c>
      <c r="G26" s="24" t="str">
        <f t="shared" si="0"/>
        <v xml:space="preserve">ब </v>
      </c>
      <c r="H26" s="24">
        <v>7</v>
      </c>
      <c r="I26" s="24">
        <v>6</v>
      </c>
      <c r="J26" s="24">
        <v>4</v>
      </c>
      <c r="K26" s="24">
        <f>SUM(H26:J26)</f>
        <v>17</v>
      </c>
      <c r="L26" s="24" t="str">
        <f t="shared" si="1"/>
        <v xml:space="preserve">ब </v>
      </c>
      <c r="M26" s="24">
        <v>5</v>
      </c>
      <c r="N26" s="24">
        <v>6</v>
      </c>
      <c r="O26" s="24">
        <v>4</v>
      </c>
      <c r="P26" s="24">
        <f>SUM(M26:O26)</f>
        <v>15</v>
      </c>
      <c r="Q26" s="24" t="str">
        <f t="shared" si="2"/>
        <v xml:space="preserve">ब </v>
      </c>
      <c r="R26" s="25">
        <v>6</v>
      </c>
      <c r="S26" s="25">
        <v>13</v>
      </c>
      <c r="T26" s="25">
        <v>11</v>
      </c>
      <c r="U26" s="28">
        <v>10</v>
      </c>
      <c r="V26" s="24">
        <f>SUM(R26:U26)</f>
        <v>40</v>
      </c>
      <c r="W26" s="24" t="str">
        <f t="shared" si="6"/>
        <v>क</v>
      </c>
      <c r="X26" s="1"/>
    </row>
    <row r="27" spans="1:24" ht="35.1" customHeight="1" x14ac:dyDescent="0.25">
      <c r="A27" s="23">
        <v>18</v>
      </c>
      <c r="B27" s="34" t="s">
        <v>32</v>
      </c>
      <c r="C27" s="24">
        <v>6</v>
      </c>
      <c r="D27" s="24">
        <v>9</v>
      </c>
      <c r="E27" s="24">
        <v>5</v>
      </c>
      <c r="F27" s="24">
        <f t="shared" si="3"/>
        <v>20</v>
      </c>
      <c r="G27" s="24" t="str">
        <f t="shared" si="0"/>
        <v xml:space="preserve">अ </v>
      </c>
      <c r="H27" s="24">
        <v>7</v>
      </c>
      <c r="I27" s="24">
        <v>7</v>
      </c>
      <c r="J27" s="24">
        <v>4</v>
      </c>
      <c r="K27" s="24">
        <f t="shared" si="4"/>
        <v>18</v>
      </c>
      <c r="L27" s="24" t="str">
        <f t="shared" si="1"/>
        <v xml:space="preserve">अ </v>
      </c>
      <c r="M27" s="24">
        <v>9</v>
      </c>
      <c r="N27" s="24">
        <v>9</v>
      </c>
      <c r="O27" s="24">
        <v>5</v>
      </c>
      <c r="P27" s="24">
        <f t="shared" si="5"/>
        <v>23</v>
      </c>
      <c r="Q27" s="24" t="str">
        <f t="shared" si="2"/>
        <v xml:space="preserve">अ </v>
      </c>
      <c r="R27" s="25">
        <v>13</v>
      </c>
      <c r="S27" s="25">
        <v>13</v>
      </c>
      <c r="T27" s="25">
        <v>17</v>
      </c>
      <c r="U27" s="28">
        <v>11</v>
      </c>
      <c r="V27" s="24">
        <f>SUM(R27:U27)</f>
        <v>54</v>
      </c>
      <c r="W27" s="24" t="str">
        <f t="shared" si="6"/>
        <v>ब</v>
      </c>
      <c r="X27" s="1"/>
    </row>
    <row r="28" spans="1:24" ht="35.1" customHeight="1" x14ac:dyDescent="0.25">
      <c r="A28" s="23">
        <v>19</v>
      </c>
      <c r="B28" s="34" t="s">
        <v>35</v>
      </c>
      <c r="C28" s="24">
        <v>9</v>
      </c>
      <c r="D28" s="24">
        <v>9</v>
      </c>
      <c r="E28" s="24">
        <v>5</v>
      </c>
      <c r="F28" s="24">
        <f t="shared" si="3"/>
        <v>23</v>
      </c>
      <c r="G28" s="24" t="str">
        <f t="shared" si="0"/>
        <v xml:space="preserve">अ </v>
      </c>
      <c r="H28" s="24">
        <v>8</v>
      </c>
      <c r="I28" s="24">
        <v>7</v>
      </c>
      <c r="J28" s="24">
        <v>4</v>
      </c>
      <c r="K28" s="24">
        <f t="shared" si="4"/>
        <v>19</v>
      </c>
      <c r="L28" s="24" t="str">
        <f t="shared" si="1"/>
        <v xml:space="preserve">अ </v>
      </c>
      <c r="M28" s="24">
        <v>9</v>
      </c>
      <c r="N28" s="24">
        <v>8</v>
      </c>
      <c r="O28" s="24">
        <v>5</v>
      </c>
      <c r="P28" s="24">
        <f t="shared" si="5"/>
        <v>22</v>
      </c>
      <c r="Q28" s="24" t="str">
        <f t="shared" si="2"/>
        <v xml:space="preserve">अ </v>
      </c>
      <c r="R28" s="25">
        <v>20</v>
      </c>
      <c r="S28" s="25">
        <v>20</v>
      </c>
      <c r="T28" s="25">
        <v>20</v>
      </c>
      <c r="U28" s="28">
        <v>20</v>
      </c>
      <c r="V28" s="24">
        <f>SUM(R28:U28)</f>
        <v>80</v>
      </c>
      <c r="W28" s="24" t="str">
        <f t="shared" si="6"/>
        <v>अ</v>
      </c>
      <c r="X28" s="1"/>
    </row>
    <row r="29" spans="1:24" ht="35.1" customHeight="1" x14ac:dyDescent="0.25">
      <c r="A29" s="9">
        <v>20</v>
      </c>
      <c r="B29" s="34" t="s">
        <v>73</v>
      </c>
      <c r="C29" s="24">
        <v>7</v>
      </c>
      <c r="D29" s="24">
        <v>9</v>
      </c>
      <c r="E29" s="24">
        <v>5</v>
      </c>
      <c r="F29" s="24">
        <f t="shared" ref="F29" si="11">SUM(C29:E29)</f>
        <v>21</v>
      </c>
      <c r="G29" s="24" t="str">
        <f t="shared" si="0"/>
        <v xml:space="preserve">अ </v>
      </c>
      <c r="H29" s="24">
        <v>9</v>
      </c>
      <c r="I29" s="24">
        <v>8</v>
      </c>
      <c r="J29" s="24">
        <v>5</v>
      </c>
      <c r="K29" s="24">
        <f t="shared" si="4"/>
        <v>22</v>
      </c>
      <c r="L29" s="24" t="str">
        <f t="shared" si="1"/>
        <v xml:space="preserve">अ </v>
      </c>
      <c r="M29" s="24">
        <v>7</v>
      </c>
      <c r="N29" s="24">
        <v>8</v>
      </c>
      <c r="O29" s="24">
        <v>5</v>
      </c>
      <c r="P29" s="24">
        <f t="shared" si="5"/>
        <v>20</v>
      </c>
      <c r="Q29" s="24" t="str">
        <f t="shared" si="2"/>
        <v xml:space="preserve">अ </v>
      </c>
      <c r="R29" s="25">
        <v>18</v>
      </c>
      <c r="S29" s="25">
        <v>19</v>
      </c>
      <c r="T29" s="25">
        <v>19</v>
      </c>
      <c r="U29" s="25">
        <v>19</v>
      </c>
      <c r="V29" s="24">
        <f t="shared" ref="V29" si="12">SUM(R29:T29)</f>
        <v>56</v>
      </c>
      <c r="W29" s="24" t="str">
        <f t="shared" si="6"/>
        <v>ब</v>
      </c>
      <c r="X29" s="1"/>
    </row>
    <row r="30" spans="1:24" ht="35.1" customHeight="1" x14ac:dyDescent="0.25">
      <c r="A30" s="23">
        <v>21</v>
      </c>
      <c r="B30" s="34" t="s">
        <v>42</v>
      </c>
      <c r="C30" s="24">
        <v>7</v>
      </c>
      <c r="D30" s="24">
        <v>8</v>
      </c>
      <c r="E30" s="24">
        <v>5</v>
      </c>
      <c r="F30" s="24">
        <f t="shared" si="3"/>
        <v>20</v>
      </c>
      <c r="G30" s="24" t="str">
        <f t="shared" si="0"/>
        <v xml:space="preserve">अ </v>
      </c>
      <c r="H30" s="24">
        <v>7</v>
      </c>
      <c r="I30" s="24">
        <v>7</v>
      </c>
      <c r="J30" s="24">
        <v>4</v>
      </c>
      <c r="K30" s="24">
        <f t="shared" si="4"/>
        <v>18</v>
      </c>
      <c r="L30" s="24" t="str">
        <f t="shared" si="1"/>
        <v xml:space="preserve">अ </v>
      </c>
      <c r="M30" s="24">
        <v>6</v>
      </c>
      <c r="N30" s="24">
        <v>7</v>
      </c>
      <c r="O30" s="24">
        <v>5</v>
      </c>
      <c r="P30" s="24">
        <f t="shared" si="5"/>
        <v>18</v>
      </c>
      <c r="Q30" s="24" t="str">
        <f t="shared" si="2"/>
        <v xml:space="preserve">अ </v>
      </c>
      <c r="R30" s="25">
        <v>16</v>
      </c>
      <c r="S30" s="25">
        <v>16</v>
      </c>
      <c r="T30" s="25">
        <v>13</v>
      </c>
      <c r="U30" s="28">
        <v>16</v>
      </c>
      <c r="V30" s="24">
        <f>SUM(R30:U30)</f>
        <v>61</v>
      </c>
      <c r="W30" s="24" t="str">
        <f t="shared" si="6"/>
        <v>अ</v>
      </c>
      <c r="X30" s="1"/>
    </row>
    <row r="31" spans="1:24" ht="32.25" customHeight="1" x14ac:dyDescent="0.2">
      <c r="A31" s="23">
        <v>22</v>
      </c>
      <c r="B31" s="34" t="s">
        <v>37</v>
      </c>
      <c r="C31" s="56" t="s">
        <v>82</v>
      </c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8"/>
    </row>
    <row r="32" spans="1:24" ht="32.25" customHeight="1" x14ac:dyDescent="0.25">
      <c r="A32" s="9">
        <v>23</v>
      </c>
      <c r="B32" s="34" t="s">
        <v>36</v>
      </c>
      <c r="C32" s="24">
        <v>7</v>
      </c>
      <c r="D32" s="24">
        <v>9</v>
      </c>
      <c r="E32" s="24">
        <v>5</v>
      </c>
      <c r="F32" s="24">
        <f>SUM(C32:E32)</f>
        <v>21</v>
      </c>
      <c r="G32" s="24" t="str">
        <f>IF(F32&gt;17,$L$41,IF(F32&gt;14,$M$41,IF(F32&gt;11,$N$41)))</f>
        <v xml:space="preserve">अ </v>
      </c>
      <c r="H32" s="24">
        <v>7</v>
      </c>
      <c r="I32" s="24">
        <v>7</v>
      </c>
      <c r="J32" s="24">
        <v>4</v>
      </c>
      <c r="K32" s="24">
        <f>SUM(H32:J32)</f>
        <v>18</v>
      </c>
      <c r="L32" s="24" t="str">
        <f>IF(K32&gt;17,$L$41,IF(K32&gt;14,$M$41,IF(K32&gt;11,$N$41)))</f>
        <v xml:space="preserve">अ </v>
      </c>
      <c r="M32" s="24">
        <v>8</v>
      </c>
      <c r="N32" s="24">
        <v>8</v>
      </c>
      <c r="O32" s="24">
        <v>5</v>
      </c>
      <c r="P32" s="24">
        <f>SUM(M32:O32)</f>
        <v>21</v>
      </c>
      <c r="Q32" s="24" t="str">
        <f>IF(P32&gt;17,$L$41,IF(P32&gt;14,$M$41,IF(P32&gt;11,$N$41)))</f>
        <v xml:space="preserve">अ </v>
      </c>
      <c r="R32" s="25">
        <v>19</v>
      </c>
      <c r="S32" s="25">
        <v>15</v>
      </c>
      <c r="T32" s="25">
        <v>16</v>
      </c>
      <c r="U32" s="28">
        <v>19</v>
      </c>
      <c r="V32" s="24">
        <f>SUM(R32:U32)</f>
        <v>69</v>
      </c>
      <c r="W32" s="24" t="str" cm="1">
        <f t="array" ref="W32">_xlfn.IFS(V32&gt;=60,"अ",V32&gt;=48,"ब",V32&gt;=40,"क",V32&gt;=28,"ड",V32&gt;=0,"इ")</f>
        <v>अ</v>
      </c>
    </row>
    <row r="33" spans="1:23" ht="32.25" customHeight="1" x14ac:dyDescent="0.25">
      <c r="A33" s="23">
        <v>24</v>
      </c>
      <c r="B33" s="34" t="s">
        <v>74</v>
      </c>
      <c r="C33" s="24">
        <v>5</v>
      </c>
      <c r="D33" s="24">
        <v>4</v>
      </c>
      <c r="E33" s="24">
        <v>3</v>
      </c>
      <c r="F33" s="24">
        <f>SUM(C33:E33)</f>
        <v>12</v>
      </c>
      <c r="G33" s="24" t="str">
        <f>IF(F33&gt;17,$L$41,IF(F33&gt;14,$M$41,IF(F33&gt;11,$N$41)))</f>
        <v xml:space="preserve">क </v>
      </c>
      <c r="H33" s="24">
        <v>4</v>
      </c>
      <c r="I33" s="24">
        <v>5</v>
      </c>
      <c r="J33" s="24">
        <v>3</v>
      </c>
      <c r="K33" s="24">
        <f>SUM(H33:J33)</f>
        <v>12</v>
      </c>
      <c r="L33" s="24" t="str">
        <f>IF(K33&gt;17,$L$41,IF(K33&gt;14,$M$41,IF(K33&gt;11,$N$41)))</f>
        <v xml:space="preserve">क </v>
      </c>
      <c r="M33" s="24">
        <v>5</v>
      </c>
      <c r="N33" s="24">
        <v>5</v>
      </c>
      <c r="O33" s="24">
        <v>2</v>
      </c>
      <c r="P33" s="24">
        <f>SUM(M33:O33)</f>
        <v>12</v>
      </c>
      <c r="Q33" s="24" t="str">
        <f>IF(P33&gt;17,$L$41,IF(P33&gt;14,$M$41,IF(P33&gt;11,$N$41)))</f>
        <v xml:space="preserve">क </v>
      </c>
      <c r="R33" s="25">
        <v>4</v>
      </c>
      <c r="S33" s="25">
        <v>4</v>
      </c>
      <c r="T33" s="25">
        <v>5</v>
      </c>
      <c r="U33" s="28">
        <v>4</v>
      </c>
      <c r="V33" s="24">
        <f>SUM(R33:U33)</f>
        <v>17</v>
      </c>
      <c r="W33" s="24" t="str" cm="1">
        <f t="array" ref="W33">_xlfn.IFS(V33&gt;=60,"अ",V33&gt;=48,"ब",V33&gt;=40,"क",V33&gt;=28,"ड",V33&gt;=0,"इ")</f>
        <v>इ</v>
      </c>
    </row>
    <row r="34" spans="1:23" ht="28.5" customHeight="1" x14ac:dyDescent="0.25">
      <c r="A34" s="23">
        <v>25</v>
      </c>
      <c r="B34" s="34" t="s">
        <v>38</v>
      </c>
      <c r="C34" s="24">
        <v>8</v>
      </c>
      <c r="D34" s="24">
        <v>9</v>
      </c>
      <c r="E34" s="24">
        <v>5</v>
      </c>
      <c r="F34" s="24">
        <f t="shared" si="3"/>
        <v>22</v>
      </c>
      <c r="G34" s="24" t="str">
        <f>IF(F34&gt;17,$L$41,IF(F34&gt;14,$M$41,IF(F34&gt;11,$N$41)))</f>
        <v xml:space="preserve">अ </v>
      </c>
      <c r="H34" s="24">
        <v>8</v>
      </c>
      <c r="I34" s="24">
        <v>9</v>
      </c>
      <c r="J34" s="24">
        <v>4</v>
      </c>
      <c r="K34" s="24">
        <f t="shared" si="4"/>
        <v>21</v>
      </c>
      <c r="L34" s="24" t="str">
        <f>IF(K34&gt;17,$L$41,IF(K34&gt;14,$M$41,IF(K34&gt;11,$N$41)))</f>
        <v xml:space="preserve">अ </v>
      </c>
      <c r="M34" s="24">
        <v>10</v>
      </c>
      <c r="N34" s="24">
        <v>9</v>
      </c>
      <c r="O34" s="24">
        <v>5</v>
      </c>
      <c r="P34" s="24">
        <f t="shared" si="5"/>
        <v>24</v>
      </c>
      <c r="Q34" s="24" t="str">
        <f>IF(P34&gt;17,$L$41,IF(P34&gt;14,$M$41,IF(P34&gt;11,$N$41)))</f>
        <v xml:space="preserve">अ </v>
      </c>
      <c r="R34" s="25">
        <v>17</v>
      </c>
      <c r="S34" s="25">
        <v>13</v>
      </c>
      <c r="T34" s="25">
        <v>18</v>
      </c>
      <c r="U34" s="28">
        <v>19</v>
      </c>
      <c r="V34" s="24">
        <f>SUM(R34:U34)</f>
        <v>67</v>
      </c>
      <c r="W34" s="24" t="str" cm="1">
        <f t="array" ref="W34">_xlfn.IFS(V34&gt;=60,"अ",V34&gt;=48,"ब",V34&gt;=40,"क",V34&gt;=28,"ड",V34&gt;=0,"इ")</f>
        <v>अ</v>
      </c>
    </row>
    <row r="35" spans="1:23" ht="30" customHeight="1" x14ac:dyDescent="0.25">
      <c r="A35" s="9">
        <v>26</v>
      </c>
      <c r="B35" s="34" t="s">
        <v>43</v>
      </c>
      <c r="C35" s="24">
        <v>7</v>
      </c>
      <c r="D35" s="24">
        <v>9</v>
      </c>
      <c r="E35" s="24">
        <v>5</v>
      </c>
      <c r="F35" s="24">
        <f t="shared" si="3"/>
        <v>21</v>
      </c>
      <c r="G35" s="24" t="str">
        <f>IF(F35&gt;17,$L$41,IF(F35&gt;14,$M$41,IF(F35&gt;11,$N$41)))</f>
        <v xml:space="preserve">अ </v>
      </c>
      <c r="H35" s="24">
        <v>6</v>
      </c>
      <c r="I35" s="24">
        <v>7</v>
      </c>
      <c r="J35" s="24">
        <v>4</v>
      </c>
      <c r="K35" s="24">
        <f t="shared" si="4"/>
        <v>17</v>
      </c>
      <c r="L35" s="24" t="str">
        <f>IF(K35&gt;17,$L$41,IF(K35&gt;14,$M$41,IF(K35&gt;11,$N$41)))</f>
        <v xml:space="preserve">ब </v>
      </c>
      <c r="M35" s="24">
        <v>8</v>
      </c>
      <c r="N35" s="24">
        <v>7</v>
      </c>
      <c r="O35" s="24">
        <v>5</v>
      </c>
      <c r="P35" s="24">
        <f t="shared" si="5"/>
        <v>20</v>
      </c>
      <c r="Q35" s="24" t="str">
        <f>IF(P35&gt;17,$L$41,IF(P35&gt;14,$M$41,IF(P35&gt;11,$N$41)))</f>
        <v xml:space="preserve">अ </v>
      </c>
      <c r="R35" s="25">
        <v>13</v>
      </c>
      <c r="S35" s="25">
        <v>16</v>
      </c>
      <c r="T35" s="25">
        <v>18</v>
      </c>
      <c r="U35" s="28">
        <v>17</v>
      </c>
      <c r="V35" s="24">
        <f>SUM(R35:U35)</f>
        <v>64</v>
      </c>
      <c r="W35" s="24" t="str" cm="1">
        <f t="array" ref="W35">_xlfn.IFS(V35&gt;=60,"अ",V35&gt;=48,"ब",V35&gt;=40,"क",V35&gt;=28,"ड",V35&gt;=0,"इ")</f>
        <v>अ</v>
      </c>
    </row>
    <row r="36" spans="1:23" ht="30.75" customHeight="1" thickBot="1" x14ac:dyDescent="0.2">
      <c r="A36" s="10"/>
      <c r="B36" s="38"/>
      <c r="C36" s="41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3"/>
      <c r="U36" s="44"/>
      <c r="V36" s="43"/>
      <c r="W36" s="43"/>
    </row>
    <row r="37" spans="1:23" ht="15.75" customHeight="1" x14ac:dyDescent="0.15"/>
    <row r="38" spans="1:23" ht="15.75" customHeight="1" x14ac:dyDescent="0.15">
      <c r="F38" s="46">
        <f>MIN(F10:F35)</f>
        <v>12</v>
      </c>
      <c r="K38" s="46">
        <f>MIN(K10:K35)</f>
        <v>12</v>
      </c>
      <c r="L38" s="46"/>
      <c r="P38" s="46"/>
      <c r="V38" s="46">
        <f>MIN(V10:V35)</f>
        <v>17</v>
      </c>
    </row>
    <row r="39" spans="1:23" ht="15.75" customHeight="1" x14ac:dyDescent="0.15"/>
    <row r="40" spans="1:23" ht="15.75" customHeight="1" x14ac:dyDescent="0.15"/>
    <row r="41" spans="1:23" ht="25.9" hidden="1" customHeight="1" x14ac:dyDescent="0.15">
      <c r="L41" s="47" t="s">
        <v>67</v>
      </c>
      <c r="M41" s="47" t="s">
        <v>68</v>
      </c>
      <c r="N41" s="47" t="s">
        <v>69</v>
      </c>
    </row>
    <row r="42" spans="1:23" ht="15.75" customHeight="1" x14ac:dyDescent="0.15"/>
    <row r="43" spans="1:23" ht="15.75" customHeight="1" x14ac:dyDescent="0.15"/>
    <row r="44" spans="1:23" ht="15.75" customHeight="1" x14ac:dyDescent="0.15"/>
    <row r="45" spans="1:23" ht="15.75" customHeight="1" x14ac:dyDescent="0.15"/>
    <row r="46" spans="1:23" ht="15.75" customHeight="1" x14ac:dyDescent="0.15"/>
    <row r="47" spans="1:23" ht="15.75" customHeight="1" x14ac:dyDescent="0.15"/>
    <row r="48" spans="1:23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</sheetData>
  <mergeCells count="31">
    <mergeCell ref="A1:W1"/>
    <mergeCell ref="A2:W2"/>
    <mergeCell ref="A3:W3"/>
    <mergeCell ref="A4:W4"/>
    <mergeCell ref="A5:A8"/>
    <mergeCell ref="B5:B8"/>
    <mergeCell ref="C5:G5"/>
    <mergeCell ref="H5:L5"/>
    <mergeCell ref="M5:Q5"/>
    <mergeCell ref="R5:R7"/>
    <mergeCell ref="S5:S7"/>
    <mergeCell ref="T5:T7"/>
    <mergeCell ref="V5:V7"/>
    <mergeCell ref="W5:W8"/>
    <mergeCell ref="C6:C7"/>
    <mergeCell ref="C31:W31"/>
    <mergeCell ref="O6:O7"/>
    <mergeCell ref="P6:P7"/>
    <mergeCell ref="Q6:Q8"/>
    <mergeCell ref="I6:I7"/>
    <mergeCell ref="J6:J7"/>
    <mergeCell ref="K6:K7"/>
    <mergeCell ref="L6:L8"/>
    <mergeCell ref="M6:M7"/>
    <mergeCell ref="N6:N7"/>
    <mergeCell ref="D6:D7"/>
    <mergeCell ref="E6:E7"/>
    <mergeCell ref="F6:F7"/>
    <mergeCell ref="G6:G8"/>
    <mergeCell ref="H6:H7"/>
    <mergeCell ref="U5:U7"/>
  </mergeCells>
  <phoneticPr fontId="15" type="noConversion"/>
  <pageMargins left="0.25" right="0.25" top="0.75" bottom="0.75" header="0.3" footer="0.3"/>
  <pageSetup paperSize="9" scale="54" orientation="landscape" r:id="rId1"/>
  <ignoredErrors>
    <ignoredError sqref="V1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43C5-99A2-4DEE-BA23-14B9F51D1651}">
  <sheetPr>
    <outlinePr summaryBelow="0" summaryRight="0"/>
    <pageSetUpPr fitToPage="1"/>
  </sheetPr>
  <dimension ref="A1:Y99"/>
  <sheetViews>
    <sheetView zoomScaleNormal="100" workbookViewId="0">
      <selection activeCell="A3" sqref="A3:W3"/>
    </sheetView>
  </sheetViews>
  <sheetFormatPr defaultColWidth="12.5390625" defaultRowHeight="15" customHeight="1" x14ac:dyDescent="0.15"/>
  <cols>
    <col min="1" max="1" width="5.66015625" style="30" customWidth="1"/>
    <col min="2" max="2" width="30.609375" style="49" customWidth="1"/>
    <col min="3" max="3" width="6.47265625" style="30" customWidth="1"/>
    <col min="4" max="4" width="6.875" style="30" customWidth="1"/>
    <col min="5" max="6" width="6.47265625" style="30" customWidth="1"/>
    <col min="7" max="7" width="6.3359375" style="30" customWidth="1"/>
    <col min="8" max="8" width="8.359375" style="30" customWidth="1"/>
    <col min="9" max="9" width="7.953125" style="30" customWidth="1"/>
    <col min="10" max="10" width="6.47265625" style="30" customWidth="1"/>
    <col min="11" max="11" width="7.01171875" style="30" customWidth="1"/>
    <col min="12" max="12" width="6.60546875" style="30" customWidth="1"/>
    <col min="13" max="13" width="8.62890625" style="30" customWidth="1"/>
    <col min="14" max="15" width="8.359375" style="30" customWidth="1"/>
    <col min="16" max="16" width="6.60546875" style="30" customWidth="1"/>
    <col min="17" max="17" width="7.28125" style="30" customWidth="1"/>
    <col min="18" max="18" width="6.60546875" style="30" customWidth="1"/>
    <col min="19" max="19" width="5.93359375" style="30" customWidth="1"/>
    <col min="20" max="21" width="7.4140625" style="30" customWidth="1"/>
    <col min="22" max="22" width="7.01171875" style="30" customWidth="1"/>
    <col min="23" max="23" width="7.01171875" style="45" customWidth="1"/>
    <col min="24" max="16384" width="12.5390625" style="30"/>
  </cols>
  <sheetData>
    <row r="1" spans="1:24" ht="24" customHeight="1" x14ac:dyDescent="0.15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</row>
    <row r="2" spans="1:24" ht="37.5" customHeight="1" x14ac:dyDescent="0.15">
      <c r="A2" s="73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</row>
    <row r="3" spans="1:24" ht="26.25" customHeight="1" x14ac:dyDescent="0.15">
      <c r="A3" s="75" t="s">
        <v>80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</row>
    <row r="4" spans="1:24" ht="2.25" customHeight="1" thickBot="1" x14ac:dyDescent="0.2">
      <c r="A4" s="76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</row>
    <row r="5" spans="1:24" ht="26.25" customHeight="1" x14ac:dyDescent="0.15">
      <c r="A5" s="77" t="s">
        <v>18</v>
      </c>
      <c r="B5" s="89" t="s">
        <v>2</v>
      </c>
      <c r="C5" s="81" t="s">
        <v>3</v>
      </c>
      <c r="D5" s="82"/>
      <c r="E5" s="82"/>
      <c r="F5" s="82"/>
      <c r="G5" s="83"/>
      <c r="H5" s="81" t="s">
        <v>4</v>
      </c>
      <c r="I5" s="82"/>
      <c r="J5" s="82"/>
      <c r="K5" s="82"/>
      <c r="L5" s="83"/>
      <c r="M5" s="81" t="s">
        <v>5</v>
      </c>
      <c r="N5" s="82"/>
      <c r="O5" s="82"/>
      <c r="P5" s="82"/>
      <c r="Q5" s="83"/>
      <c r="R5" s="84" t="s">
        <v>6</v>
      </c>
      <c r="S5" s="85" t="s">
        <v>19</v>
      </c>
      <c r="T5" s="85" t="s">
        <v>20</v>
      </c>
      <c r="U5" s="85" t="s">
        <v>66</v>
      </c>
      <c r="V5" s="84" t="s">
        <v>7</v>
      </c>
      <c r="W5" s="86" t="s">
        <v>8</v>
      </c>
      <c r="X5" s="1"/>
    </row>
    <row r="6" spans="1:24" ht="32.25" customHeight="1" x14ac:dyDescent="0.15">
      <c r="A6" s="78"/>
      <c r="B6" s="90"/>
      <c r="C6" s="59" t="s">
        <v>9</v>
      </c>
      <c r="D6" s="59" t="s">
        <v>10</v>
      </c>
      <c r="E6" s="59" t="s">
        <v>11</v>
      </c>
      <c r="F6" s="61" t="s">
        <v>7</v>
      </c>
      <c r="G6" s="63" t="s">
        <v>8</v>
      </c>
      <c r="H6" s="59" t="s">
        <v>12</v>
      </c>
      <c r="I6" s="59" t="s">
        <v>13</v>
      </c>
      <c r="J6" s="59" t="s">
        <v>14</v>
      </c>
      <c r="K6" s="61" t="s">
        <v>7</v>
      </c>
      <c r="L6" s="63" t="s">
        <v>8</v>
      </c>
      <c r="M6" s="66" t="s">
        <v>15</v>
      </c>
      <c r="N6" s="59" t="s">
        <v>16</v>
      </c>
      <c r="O6" s="59" t="s">
        <v>17</v>
      </c>
      <c r="P6" s="61" t="s">
        <v>7</v>
      </c>
      <c r="Q6" s="63" t="s">
        <v>8</v>
      </c>
      <c r="R6" s="64"/>
      <c r="S6" s="64"/>
      <c r="T6" s="64"/>
      <c r="U6" s="64"/>
      <c r="V6" s="64"/>
      <c r="W6" s="87"/>
      <c r="X6" s="1"/>
    </row>
    <row r="7" spans="1:24" ht="27.75" customHeight="1" x14ac:dyDescent="0.15">
      <c r="A7" s="78"/>
      <c r="B7" s="90"/>
      <c r="C7" s="60"/>
      <c r="D7" s="60"/>
      <c r="E7" s="60"/>
      <c r="F7" s="62"/>
      <c r="G7" s="64"/>
      <c r="H7" s="60"/>
      <c r="I7" s="60"/>
      <c r="J7" s="60"/>
      <c r="K7" s="62"/>
      <c r="L7" s="64"/>
      <c r="M7" s="67"/>
      <c r="N7" s="60"/>
      <c r="O7" s="60"/>
      <c r="P7" s="62"/>
      <c r="Q7" s="64"/>
      <c r="R7" s="62"/>
      <c r="S7" s="62"/>
      <c r="T7" s="62"/>
      <c r="U7" s="62"/>
      <c r="V7" s="62"/>
      <c r="W7" s="87"/>
      <c r="X7" s="1"/>
    </row>
    <row r="8" spans="1:24" ht="44.25" customHeight="1" thickBot="1" x14ac:dyDescent="0.2">
      <c r="A8" s="79"/>
      <c r="B8" s="91"/>
      <c r="C8" s="39">
        <v>10</v>
      </c>
      <c r="D8" s="39">
        <v>10</v>
      </c>
      <c r="E8" s="39">
        <v>5</v>
      </c>
      <c r="F8" s="39">
        <v>25</v>
      </c>
      <c r="G8" s="65"/>
      <c r="H8" s="39">
        <v>10</v>
      </c>
      <c r="I8" s="39">
        <v>10</v>
      </c>
      <c r="J8" s="39">
        <v>5</v>
      </c>
      <c r="K8" s="39">
        <v>25</v>
      </c>
      <c r="L8" s="65"/>
      <c r="M8" s="39">
        <v>10</v>
      </c>
      <c r="N8" s="39">
        <v>10</v>
      </c>
      <c r="O8" s="39">
        <v>5</v>
      </c>
      <c r="P8" s="39">
        <v>25</v>
      </c>
      <c r="Q8" s="65"/>
      <c r="R8" s="39">
        <v>20</v>
      </c>
      <c r="S8" s="39">
        <v>20</v>
      </c>
      <c r="T8" s="39">
        <v>20</v>
      </c>
      <c r="U8" s="39">
        <v>20</v>
      </c>
      <c r="V8" s="39">
        <v>80</v>
      </c>
      <c r="W8" s="88"/>
      <c r="X8" s="1"/>
    </row>
    <row r="9" spans="1:24" ht="15.75" customHeight="1" x14ac:dyDescent="0.15">
      <c r="A9" s="7"/>
      <c r="B9" s="3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  <c r="Q9" s="3"/>
      <c r="R9" s="3"/>
      <c r="S9" s="3"/>
      <c r="T9" s="5"/>
      <c r="U9" s="5"/>
      <c r="V9" s="6"/>
      <c r="W9" s="8"/>
      <c r="X9" s="1"/>
    </row>
    <row r="10" spans="1:24" ht="35.1" customHeight="1" x14ac:dyDescent="0.25">
      <c r="A10" s="25">
        <v>27</v>
      </c>
      <c r="B10" s="32" t="s">
        <v>47</v>
      </c>
      <c r="C10" s="26">
        <v>10</v>
      </c>
      <c r="D10" s="24">
        <v>5</v>
      </c>
      <c r="E10" s="24">
        <v>4</v>
      </c>
      <c r="F10" s="24">
        <f>SUM(C10:E10)</f>
        <v>19</v>
      </c>
      <c r="G10" s="24" t="str">
        <f t="shared" ref="G10:G35" si="0">IF(F10&gt;17,$L$42,IF(F10&gt;14,$M$42,IF(F10&gt;11,$N$42)))</f>
        <v xml:space="preserve">अ </v>
      </c>
      <c r="H10" s="24">
        <v>5</v>
      </c>
      <c r="I10" s="24">
        <v>6</v>
      </c>
      <c r="J10" s="24">
        <v>4</v>
      </c>
      <c r="K10" s="24">
        <f>SUM(H10:J10)</f>
        <v>15</v>
      </c>
      <c r="L10" s="24" t="str">
        <f t="shared" ref="L10:L35" si="1">IF(K10&gt;17,$L$42,IF(K10&gt;14,$M$42,IF(K10&gt;11,$N$42)))</f>
        <v xml:space="preserve">ब </v>
      </c>
      <c r="M10" s="24">
        <v>7</v>
      </c>
      <c r="N10" s="24">
        <v>7</v>
      </c>
      <c r="O10" s="24">
        <v>4</v>
      </c>
      <c r="P10" s="24">
        <f>SUM(M10:O10)</f>
        <v>18</v>
      </c>
      <c r="Q10" s="24" t="str">
        <f t="shared" ref="Q10:Q30" si="2">IF(P10&gt;17,$L$42,IF(P10&gt;14,$M$42,IF(P10&gt;11,$N$42)))</f>
        <v xml:space="preserve">अ </v>
      </c>
      <c r="R10" s="25">
        <v>17</v>
      </c>
      <c r="S10" s="25">
        <v>14</v>
      </c>
      <c r="T10" s="25">
        <v>15</v>
      </c>
      <c r="U10" s="25">
        <v>13</v>
      </c>
      <c r="V10" s="29">
        <f>SUM(R10:U10)</f>
        <v>59</v>
      </c>
      <c r="W10" s="24" t="str">
        <f>IF(V10&gt;48,"अ","ब" )</f>
        <v>अ</v>
      </c>
      <c r="X10" s="1"/>
    </row>
    <row r="11" spans="1:24" ht="31.5" customHeight="1" x14ac:dyDescent="0.25">
      <c r="A11" s="25">
        <v>28</v>
      </c>
      <c r="B11" s="32" t="s">
        <v>45</v>
      </c>
      <c r="C11" s="26">
        <v>6</v>
      </c>
      <c r="D11" s="24">
        <v>6</v>
      </c>
      <c r="E11" s="24">
        <v>4</v>
      </c>
      <c r="F11" s="24">
        <f>SUM(C11:E11)</f>
        <v>16</v>
      </c>
      <c r="G11" s="24" t="str">
        <f t="shared" si="0"/>
        <v xml:space="preserve">ब </v>
      </c>
      <c r="H11" s="24">
        <v>7</v>
      </c>
      <c r="I11" s="24">
        <v>6</v>
      </c>
      <c r="J11" s="24">
        <v>4</v>
      </c>
      <c r="K11" s="24">
        <f>SUM(H11:J11)</f>
        <v>17</v>
      </c>
      <c r="L11" s="24" t="str">
        <f t="shared" si="1"/>
        <v xml:space="preserve">ब </v>
      </c>
      <c r="M11" s="24">
        <v>7</v>
      </c>
      <c r="N11" s="24">
        <v>7</v>
      </c>
      <c r="O11" s="24">
        <v>5</v>
      </c>
      <c r="P11" s="24">
        <f>SUM(M11:O11)</f>
        <v>19</v>
      </c>
      <c r="Q11" s="24" t="str">
        <f t="shared" si="2"/>
        <v xml:space="preserve">अ </v>
      </c>
      <c r="R11" s="25">
        <v>17</v>
      </c>
      <c r="S11" s="25">
        <v>16</v>
      </c>
      <c r="T11" s="25">
        <v>16</v>
      </c>
      <c r="U11" s="25">
        <v>18</v>
      </c>
      <c r="V11" s="29">
        <f>SUM(R11:U11)</f>
        <v>67</v>
      </c>
      <c r="W11" s="24" t="str">
        <f>IF(V11&gt;48,"अ","ब" )</f>
        <v>अ</v>
      </c>
      <c r="X11" s="1"/>
    </row>
    <row r="12" spans="1:24" ht="35.1" customHeight="1" x14ac:dyDescent="0.25">
      <c r="A12" s="25">
        <v>29</v>
      </c>
      <c r="B12" s="32" t="s">
        <v>46</v>
      </c>
      <c r="C12" s="26">
        <v>8</v>
      </c>
      <c r="D12" s="24">
        <v>7</v>
      </c>
      <c r="E12" s="24">
        <v>5</v>
      </c>
      <c r="F12" s="24">
        <f t="shared" ref="F12:F35" si="3">SUM(C12:E12)</f>
        <v>20</v>
      </c>
      <c r="G12" s="24" t="str">
        <f t="shared" si="0"/>
        <v xml:space="preserve">अ </v>
      </c>
      <c r="H12" s="24">
        <v>7</v>
      </c>
      <c r="I12" s="24">
        <v>6</v>
      </c>
      <c r="J12" s="24">
        <v>4</v>
      </c>
      <c r="K12" s="24">
        <f t="shared" ref="K12:K35" si="4">SUM(H12:J12)</f>
        <v>17</v>
      </c>
      <c r="L12" s="24" t="str">
        <f t="shared" si="1"/>
        <v xml:space="preserve">ब </v>
      </c>
      <c r="M12" s="24">
        <v>7</v>
      </c>
      <c r="N12" s="24">
        <v>7</v>
      </c>
      <c r="O12" s="24">
        <v>4</v>
      </c>
      <c r="P12" s="24">
        <f t="shared" ref="P12:P35" si="5">SUM(M12:O12)</f>
        <v>18</v>
      </c>
      <c r="Q12" s="24" t="str">
        <f t="shared" si="2"/>
        <v xml:space="preserve">अ </v>
      </c>
      <c r="R12" s="25">
        <v>15</v>
      </c>
      <c r="S12" s="25">
        <v>16</v>
      </c>
      <c r="T12" s="25">
        <v>13</v>
      </c>
      <c r="U12" s="25">
        <v>18</v>
      </c>
      <c r="V12" s="29">
        <f>SUM(R12:U12)</f>
        <v>62</v>
      </c>
      <c r="W12" s="24" t="str">
        <f t="shared" ref="W12:W35" si="6">IF(V12&gt;48,"अ","ब" )</f>
        <v>अ</v>
      </c>
      <c r="X12" s="1"/>
    </row>
    <row r="13" spans="1:24" ht="24.6" customHeight="1" x14ac:dyDescent="0.25">
      <c r="A13" s="25">
        <v>30</v>
      </c>
      <c r="B13" s="32" t="s">
        <v>75</v>
      </c>
      <c r="C13" s="26">
        <v>7</v>
      </c>
      <c r="D13" s="24">
        <v>4</v>
      </c>
      <c r="E13" s="24">
        <v>5</v>
      </c>
      <c r="F13" s="24">
        <f t="shared" si="3"/>
        <v>16</v>
      </c>
      <c r="G13" s="24" t="str">
        <f t="shared" si="0"/>
        <v xml:space="preserve">ब </v>
      </c>
      <c r="H13" s="24">
        <v>6</v>
      </c>
      <c r="I13" s="24">
        <v>6</v>
      </c>
      <c r="J13" s="24">
        <v>3</v>
      </c>
      <c r="K13" s="24">
        <f t="shared" si="4"/>
        <v>15</v>
      </c>
      <c r="L13" s="24" t="str">
        <f t="shared" si="1"/>
        <v xml:space="preserve">ब </v>
      </c>
      <c r="M13" s="24">
        <v>8</v>
      </c>
      <c r="N13" s="24">
        <v>7</v>
      </c>
      <c r="O13" s="24">
        <v>5</v>
      </c>
      <c r="P13" s="24">
        <f t="shared" si="5"/>
        <v>20</v>
      </c>
      <c r="Q13" s="24" t="str">
        <f t="shared" si="2"/>
        <v xml:space="preserve">अ </v>
      </c>
      <c r="R13" s="25">
        <v>13</v>
      </c>
      <c r="S13" s="25">
        <v>17</v>
      </c>
      <c r="T13" s="25">
        <v>12</v>
      </c>
      <c r="U13" s="25">
        <v>13</v>
      </c>
      <c r="V13" s="29">
        <f>SUM(R13:U13)</f>
        <v>55</v>
      </c>
      <c r="W13" s="24" t="str">
        <f t="shared" si="6"/>
        <v>अ</v>
      </c>
    </row>
    <row r="14" spans="1:24" ht="35.1" customHeight="1" x14ac:dyDescent="0.25">
      <c r="A14" s="25">
        <v>31</v>
      </c>
      <c r="B14" s="32" t="s">
        <v>58</v>
      </c>
      <c r="C14" s="26">
        <v>6</v>
      </c>
      <c r="D14" s="24">
        <v>4</v>
      </c>
      <c r="E14" s="24">
        <v>4</v>
      </c>
      <c r="F14" s="24">
        <f>SUM(C14:E14)</f>
        <v>14</v>
      </c>
      <c r="G14" s="24" t="str">
        <f t="shared" si="0"/>
        <v xml:space="preserve">क </v>
      </c>
      <c r="H14" s="24">
        <v>6</v>
      </c>
      <c r="I14" s="24">
        <v>7</v>
      </c>
      <c r="J14" s="24">
        <v>4</v>
      </c>
      <c r="K14" s="24">
        <f>SUM(H14:J14)</f>
        <v>17</v>
      </c>
      <c r="L14" s="24" t="str">
        <f t="shared" si="1"/>
        <v xml:space="preserve">ब </v>
      </c>
      <c r="M14" s="24">
        <v>6</v>
      </c>
      <c r="N14" s="24">
        <v>6</v>
      </c>
      <c r="O14" s="24">
        <v>4</v>
      </c>
      <c r="P14" s="24">
        <f>SUM(M14:O14)</f>
        <v>16</v>
      </c>
      <c r="Q14" s="24" t="str">
        <f t="shared" si="2"/>
        <v xml:space="preserve">ब </v>
      </c>
      <c r="R14" s="25">
        <v>10</v>
      </c>
      <c r="S14" s="25">
        <v>13</v>
      </c>
      <c r="T14" s="25">
        <v>11</v>
      </c>
      <c r="U14" s="25">
        <v>12</v>
      </c>
      <c r="V14" s="29">
        <f>SUM(R14:U14)</f>
        <v>46</v>
      </c>
      <c r="W14" s="24" t="str">
        <f>IF(V14&gt;48,"अ","ब" )</f>
        <v>ब</v>
      </c>
      <c r="X14" s="1"/>
    </row>
    <row r="15" spans="1:24" ht="35.1" customHeight="1" x14ac:dyDescent="0.25">
      <c r="A15" s="25">
        <v>32</v>
      </c>
      <c r="B15" s="32" t="s">
        <v>48</v>
      </c>
      <c r="C15" s="26">
        <v>6</v>
      </c>
      <c r="D15" s="24">
        <v>7</v>
      </c>
      <c r="E15" s="24">
        <v>5</v>
      </c>
      <c r="F15" s="24">
        <f t="shared" si="3"/>
        <v>18</v>
      </c>
      <c r="G15" s="24" t="str">
        <f t="shared" si="0"/>
        <v xml:space="preserve">अ </v>
      </c>
      <c r="H15" s="24">
        <v>8</v>
      </c>
      <c r="I15" s="24">
        <v>8</v>
      </c>
      <c r="J15" s="24">
        <v>4</v>
      </c>
      <c r="K15" s="24">
        <f t="shared" si="4"/>
        <v>20</v>
      </c>
      <c r="L15" s="24" t="str">
        <f t="shared" si="1"/>
        <v xml:space="preserve">अ </v>
      </c>
      <c r="M15" s="24">
        <v>8</v>
      </c>
      <c r="N15" s="24">
        <v>8</v>
      </c>
      <c r="O15" s="24">
        <v>4</v>
      </c>
      <c r="P15" s="24">
        <f t="shared" si="5"/>
        <v>20</v>
      </c>
      <c r="Q15" s="24" t="str">
        <f t="shared" si="2"/>
        <v xml:space="preserve">अ </v>
      </c>
      <c r="R15" s="25">
        <v>13</v>
      </c>
      <c r="S15" s="25">
        <v>17</v>
      </c>
      <c r="T15" s="25">
        <v>13</v>
      </c>
      <c r="U15" s="25">
        <v>15</v>
      </c>
      <c r="V15" s="29">
        <f>SUM(R15:U15)</f>
        <v>58</v>
      </c>
      <c r="W15" s="24" t="str">
        <f t="shared" si="6"/>
        <v>अ</v>
      </c>
      <c r="X15" s="1"/>
    </row>
    <row r="16" spans="1:24" ht="35.1" customHeight="1" x14ac:dyDescent="0.25">
      <c r="A16" s="25">
        <v>33</v>
      </c>
      <c r="B16" s="32" t="s">
        <v>49</v>
      </c>
      <c r="C16" s="26">
        <v>8</v>
      </c>
      <c r="D16" s="24">
        <v>6</v>
      </c>
      <c r="E16" s="24">
        <v>4</v>
      </c>
      <c r="F16" s="24">
        <f t="shared" si="3"/>
        <v>18</v>
      </c>
      <c r="G16" s="24" t="str">
        <f t="shared" si="0"/>
        <v xml:space="preserve">अ </v>
      </c>
      <c r="H16" s="24">
        <v>8</v>
      </c>
      <c r="I16" s="24">
        <v>7</v>
      </c>
      <c r="J16" s="24">
        <v>4</v>
      </c>
      <c r="K16" s="24">
        <f t="shared" si="4"/>
        <v>19</v>
      </c>
      <c r="L16" s="24" t="str">
        <f t="shared" si="1"/>
        <v xml:space="preserve">अ </v>
      </c>
      <c r="M16" s="24">
        <v>8</v>
      </c>
      <c r="N16" s="24">
        <v>8</v>
      </c>
      <c r="O16" s="24">
        <v>4</v>
      </c>
      <c r="P16" s="24">
        <f t="shared" si="5"/>
        <v>20</v>
      </c>
      <c r="Q16" s="24" t="str">
        <f t="shared" si="2"/>
        <v xml:space="preserve">अ </v>
      </c>
      <c r="R16" s="25">
        <v>16</v>
      </c>
      <c r="S16" s="25">
        <v>20</v>
      </c>
      <c r="T16" s="25">
        <v>16</v>
      </c>
      <c r="U16" s="25">
        <v>19</v>
      </c>
      <c r="V16" s="29">
        <f>SUM(R16:U16)</f>
        <v>71</v>
      </c>
      <c r="W16" s="24" t="str">
        <f t="shared" si="6"/>
        <v>अ</v>
      </c>
      <c r="X16" s="1"/>
    </row>
    <row r="17" spans="1:25" ht="35.1" customHeight="1" x14ac:dyDescent="0.25">
      <c r="A17" s="25">
        <v>34</v>
      </c>
      <c r="B17" s="32" t="s">
        <v>59</v>
      </c>
      <c r="C17" s="26">
        <v>9</v>
      </c>
      <c r="D17" s="24">
        <v>8</v>
      </c>
      <c r="E17" s="24">
        <v>5</v>
      </c>
      <c r="F17" s="24">
        <f t="shared" si="3"/>
        <v>22</v>
      </c>
      <c r="G17" s="24" t="str">
        <f t="shared" si="0"/>
        <v xml:space="preserve">अ </v>
      </c>
      <c r="H17" s="24">
        <v>8</v>
      </c>
      <c r="I17" s="24">
        <v>9</v>
      </c>
      <c r="J17" s="24">
        <v>4</v>
      </c>
      <c r="K17" s="24">
        <f t="shared" si="4"/>
        <v>21</v>
      </c>
      <c r="L17" s="24" t="str">
        <f t="shared" si="1"/>
        <v xml:space="preserve">अ </v>
      </c>
      <c r="M17" s="24">
        <v>8</v>
      </c>
      <c r="N17" s="24">
        <v>9</v>
      </c>
      <c r="O17" s="24">
        <v>5</v>
      </c>
      <c r="P17" s="24">
        <f t="shared" si="5"/>
        <v>22</v>
      </c>
      <c r="Q17" s="24" t="str">
        <f t="shared" si="2"/>
        <v xml:space="preserve">अ </v>
      </c>
      <c r="R17" s="25">
        <v>19</v>
      </c>
      <c r="S17" s="25">
        <v>20</v>
      </c>
      <c r="T17" s="25">
        <v>20</v>
      </c>
      <c r="U17" s="25">
        <v>18</v>
      </c>
      <c r="V17" s="29">
        <f>SUM(R17:U17)</f>
        <v>77</v>
      </c>
      <c r="W17" s="24" t="str">
        <f t="shared" si="6"/>
        <v>अ</v>
      </c>
      <c r="X17" s="1"/>
    </row>
    <row r="18" spans="1:25" ht="35.1" customHeight="1" x14ac:dyDescent="0.25">
      <c r="A18" s="25">
        <v>35</v>
      </c>
      <c r="B18" s="32" t="s">
        <v>60</v>
      </c>
      <c r="C18" s="26">
        <v>9</v>
      </c>
      <c r="D18" s="24">
        <v>8</v>
      </c>
      <c r="E18" s="24">
        <v>5</v>
      </c>
      <c r="F18" s="24">
        <f t="shared" si="3"/>
        <v>22</v>
      </c>
      <c r="G18" s="24" t="str">
        <f t="shared" si="0"/>
        <v xml:space="preserve">अ </v>
      </c>
      <c r="H18" s="24">
        <v>8</v>
      </c>
      <c r="I18" s="24">
        <v>9</v>
      </c>
      <c r="J18" s="24">
        <v>4</v>
      </c>
      <c r="K18" s="24">
        <f t="shared" si="4"/>
        <v>21</v>
      </c>
      <c r="L18" s="24" t="str">
        <f t="shared" si="1"/>
        <v xml:space="preserve">अ </v>
      </c>
      <c r="M18" s="24">
        <v>9</v>
      </c>
      <c r="N18" s="24">
        <v>7</v>
      </c>
      <c r="O18" s="24">
        <v>5</v>
      </c>
      <c r="P18" s="24">
        <f t="shared" si="5"/>
        <v>21</v>
      </c>
      <c r="Q18" s="24" t="str">
        <f t="shared" si="2"/>
        <v xml:space="preserve">अ </v>
      </c>
      <c r="R18" s="25">
        <v>16</v>
      </c>
      <c r="S18" s="25">
        <v>16</v>
      </c>
      <c r="T18" s="25">
        <v>16</v>
      </c>
      <c r="U18" s="25">
        <v>17</v>
      </c>
      <c r="V18" s="29">
        <f>SUM(R18:U18)</f>
        <v>65</v>
      </c>
      <c r="W18" s="24" t="str">
        <f t="shared" si="6"/>
        <v>अ</v>
      </c>
      <c r="X18" s="1"/>
    </row>
    <row r="19" spans="1:25" ht="35.1" customHeight="1" x14ac:dyDescent="0.25">
      <c r="A19" s="25">
        <v>36</v>
      </c>
      <c r="B19" s="32" t="s">
        <v>50</v>
      </c>
      <c r="C19" s="26">
        <v>9</v>
      </c>
      <c r="D19" s="24">
        <v>9</v>
      </c>
      <c r="E19" s="24">
        <v>5</v>
      </c>
      <c r="F19" s="24">
        <f t="shared" si="3"/>
        <v>23</v>
      </c>
      <c r="G19" s="24" t="str">
        <f t="shared" si="0"/>
        <v xml:space="preserve">अ </v>
      </c>
      <c r="H19" s="24">
        <v>8</v>
      </c>
      <c r="I19" s="24">
        <v>8</v>
      </c>
      <c r="J19" s="24">
        <v>4</v>
      </c>
      <c r="K19" s="24">
        <f t="shared" si="4"/>
        <v>20</v>
      </c>
      <c r="L19" s="24" t="str">
        <f t="shared" si="1"/>
        <v xml:space="preserve">अ </v>
      </c>
      <c r="M19" s="24">
        <v>8</v>
      </c>
      <c r="N19" s="24">
        <v>7</v>
      </c>
      <c r="O19" s="24">
        <v>5</v>
      </c>
      <c r="P19" s="24">
        <f t="shared" si="5"/>
        <v>20</v>
      </c>
      <c r="Q19" s="24" t="str">
        <f t="shared" si="2"/>
        <v xml:space="preserve">अ </v>
      </c>
      <c r="R19" s="25">
        <v>12</v>
      </c>
      <c r="S19" s="25">
        <v>11</v>
      </c>
      <c r="T19" s="25">
        <v>10</v>
      </c>
      <c r="U19" s="25">
        <v>14</v>
      </c>
      <c r="V19" s="29">
        <f>SUM(R19:U19)</f>
        <v>47</v>
      </c>
      <c r="W19" s="24" t="str">
        <f t="shared" si="6"/>
        <v>ब</v>
      </c>
      <c r="X19" s="1"/>
    </row>
    <row r="20" spans="1:25" ht="35.1" customHeight="1" x14ac:dyDescent="0.25">
      <c r="A20" s="25">
        <v>37</v>
      </c>
      <c r="B20" s="32" t="s">
        <v>76</v>
      </c>
      <c r="C20" s="26">
        <v>10</v>
      </c>
      <c r="D20" s="24">
        <v>9</v>
      </c>
      <c r="E20" s="24">
        <v>5</v>
      </c>
      <c r="F20" s="24">
        <f t="shared" si="3"/>
        <v>24</v>
      </c>
      <c r="G20" s="24" t="str">
        <f t="shared" si="0"/>
        <v xml:space="preserve">अ </v>
      </c>
      <c r="H20" s="24">
        <v>8</v>
      </c>
      <c r="I20" s="24">
        <v>9</v>
      </c>
      <c r="J20" s="24">
        <v>4</v>
      </c>
      <c r="K20" s="24">
        <f t="shared" si="4"/>
        <v>21</v>
      </c>
      <c r="L20" s="24" t="str">
        <f t="shared" si="1"/>
        <v xml:space="preserve">अ </v>
      </c>
      <c r="M20" s="24">
        <v>6</v>
      </c>
      <c r="N20" s="24">
        <v>8</v>
      </c>
      <c r="O20" s="24">
        <v>3</v>
      </c>
      <c r="P20" s="24">
        <f t="shared" si="5"/>
        <v>17</v>
      </c>
      <c r="Q20" s="24" t="str">
        <f t="shared" si="2"/>
        <v xml:space="preserve">ब </v>
      </c>
      <c r="R20" s="25">
        <v>17</v>
      </c>
      <c r="S20" s="25">
        <v>16</v>
      </c>
      <c r="T20" s="25">
        <v>15</v>
      </c>
      <c r="U20" s="25">
        <v>16</v>
      </c>
      <c r="V20" s="29">
        <f>SUM(R20:U20)</f>
        <v>64</v>
      </c>
      <c r="W20" s="24" t="str">
        <f t="shared" si="6"/>
        <v>अ</v>
      </c>
      <c r="X20" s="1"/>
    </row>
    <row r="21" spans="1:25" ht="35.1" customHeight="1" x14ac:dyDescent="0.25">
      <c r="A21" s="25">
        <v>38</v>
      </c>
      <c r="B21" s="32" t="s">
        <v>61</v>
      </c>
      <c r="C21" s="26">
        <v>7</v>
      </c>
      <c r="D21" s="24">
        <v>6</v>
      </c>
      <c r="E21" s="24">
        <v>4</v>
      </c>
      <c r="F21" s="24">
        <f t="shared" si="3"/>
        <v>17</v>
      </c>
      <c r="G21" s="24" t="str">
        <f t="shared" si="0"/>
        <v xml:space="preserve">ब </v>
      </c>
      <c r="H21" s="24">
        <v>7</v>
      </c>
      <c r="I21" s="24">
        <v>6</v>
      </c>
      <c r="J21" s="24">
        <v>4</v>
      </c>
      <c r="K21" s="24">
        <f t="shared" si="4"/>
        <v>17</v>
      </c>
      <c r="L21" s="24" t="str">
        <f t="shared" si="1"/>
        <v xml:space="preserve">ब </v>
      </c>
      <c r="M21" s="24">
        <v>6</v>
      </c>
      <c r="N21" s="24">
        <v>7</v>
      </c>
      <c r="O21" s="24">
        <v>4</v>
      </c>
      <c r="P21" s="24">
        <f t="shared" si="5"/>
        <v>17</v>
      </c>
      <c r="Q21" s="24" t="str">
        <f t="shared" si="2"/>
        <v xml:space="preserve">ब </v>
      </c>
      <c r="R21" s="25">
        <v>20</v>
      </c>
      <c r="S21" s="25">
        <v>19</v>
      </c>
      <c r="T21" s="25">
        <v>15</v>
      </c>
      <c r="U21" s="25">
        <v>19</v>
      </c>
      <c r="V21" s="29">
        <f>SUM(R21:U21)</f>
        <v>73</v>
      </c>
      <c r="W21" s="24" t="str">
        <f t="shared" si="6"/>
        <v>अ</v>
      </c>
      <c r="X21" s="1"/>
    </row>
    <row r="22" spans="1:25" ht="35.1" customHeight="1" x14ac:dyDescent="0.25">
      <c r="A22" s="25">
        <v>39</v>
      </c>
      <c r="B22" s="32" t="s">
        <v>51</v>
      </c>
      <c r="C22" s="26">
        <v>7</v>
      </c>
      <c r="D22" s="24">
        <v>8</v>
      </c>
      <c r="E22" s="24">
        <v>4</v>
      </c>
      <c r="F22" s="24">
        <f t="shared" si="3"/>
        <v>19</v>
      </c>
      <c r="G22" s="24" t="str">
        <f t="shared" si="0"/>
        <v xml:space="preserve">अ </v>
      </c>
      <c r="H22" s="24">
        <v>8</v>
      </c>
      <c r="I22" s="24">
        <v>9</v>
      </c>
      <c r="J22" s="24">
        <v>4</v>
      </c>
      <c r="K22" s="24">
        <f t="shared" si="4"/>
        <v>21</v>
      </c>
      <c r="L22" s="24" t="str">
        <f t="shared" si="1"/>
        <v xml:space="preserve">अ </v>
      </c>
      <c r="M22" s="24">
        <v>8</v>
      </c>
      <c r="N22" s="24">
        <v>7</v>
      </c>
      <c r="O22" s="24">
        <v>5</v>
      </c>
      <c r="P22" s="24">
        <f t="shared" si="5"/>
        <v>20</v>
      </c>
      <c r="Q22" s="24" t="str">
        <f t="shared" si="2"/>
        <v xml:space="preserve">अ </v>
      </c>
      <c r="R22" s="25">
        <v>19</v>
      </c>
      <c r="S22" s="25">
        <v>16</v>
      </c>
      <c r="T22" s="25">
        <v>16</v>
      </c>
      <c r="U22" s="25">
        <v>14</v>
      </c>
      <c r="V22" s="29">
        <f>SUM(R22:U22)</f>
        <v>65</v>
      </c>
      <c r="W22" s="24" t="str">
        <f t="shared" si="6"/>
        <v>अ</v>
      </c>
    </row>
    <row r="23" spans="1:25" ht="35.1" customHeight="1" x14ac:dyDescent="0.25">
      <c r="A23" s="25">
        <v>40</v>
      </c>
      <c r="B23" s="32" t="s">
        <v>77</v>
      </c>
      <c r="C23" s="26">
        <v>8</v>
      </c>
      <c r="D23" s="24">
        <v>7</v>
      </c>
      <c r="E23" s="24">
        <v>4</v>
      </c>
      <c r="F23" s="24">
        <f t="shared" si="3"/>
        <v>19</v>
      </c>
      <c r="G23" s="24" t="str">
        <f t="shared" si="0"/>
        <v xml:space="preserve">अ </v>
      </c>
      <c r="H23" s="24">
        <v>7</v>
      </c>
      <c r="I23" s="24">
        <v>7</v>
      </c>
      <c r="J23" s="24">
        <v>4</v>
      </c>
      <c r="K23" s="24">
        <f t="shared" si="4"/>
        <v>18</v>
      </c>
      <c r="L23" s="24" t="str">
        <f t="shared" si="1"/>
        <v xml:space="preserve">अ </v>
      </c>
      <c r="M23" s="24">
        <v>7</v>
      </c>
      <c r="N23" s="24">
        <v>7</v>
      </c>
      <c r="O23" s="24">
        <v>4</v>
      </c>
      <c r="P23" s="24">
        <f t="shared" si="5"/>
        <v>18</v>
      </c>
      <c r="Q23" s="24" t="str">
        <f t="shared" si="2"/>
        <v xml:space="preserve">अ </v>
      </c>
      <c r="R23" s="25">
        <v>16</v>
      </c>
      <c r="S23" s="25">
        <v>17</v>
      </c>
      <c r="T23" s="25">
        <v>15</v>
      </c>
      <c r="U23" s="25">
        <v>17</v>
      </c>
      <c r="V23" s="29">
        <f>SUM(R23:U23)</f>
        <v>65</v>
      </c>
      <c r="W23" s="24" t="str">
        <f t="shared" si="6"/>
        <v>अ</v>
      </c>
    </row>
    <row r="24" spans="1:25" ht="35.1" customHeight="1" x14ac:dyDescent="0.25">
      <c r="A24" s="25">
        <v>41</v>
      </c>
      <c r="B24" s="32" t="s">
        <v>52</v>
      </c>
      <c r="C24" s="26">
        <v>7</v>
      </c>
      <c r="D24" s="24">
        <v>9</v>
      </c>
      <c r="E24" s="24">
        <v>4</v>
      </c>
      <c r="F24" s="24">
        <f t="shared" si="3"/>
        <v>20</v>
      </c>
      <c r="G24" s="24" t="str">
        <f t="shared" si="0"/>
        <v xml:space="preserve">अ </v>
      </c>
      <c r="H24" s="24">
        <v>8</v>
      </c>
      <c r="I24" s="24">
        <v>9</v>
      </c>
      <c r="J24" s="24">
        <v>4</v>
      </c>
      <c r="K24" s="24">
        <f t="shared" si="4"/>
        <v>21</v>
      </c>
      <c r="L24" s="24" t="str">
        <f t="shared" si="1"/>
        <v xml:space="preserve">अ </v>
      </c>
      <c r="M24" s="24">
        <v>8</v>
      </c>
      <c r="N24" s="24">
        <v>7</v>
      </c>
      <c r="O24" s="24">
        <v>5</v>
      </c>
      <c r="P24" s="24">
        <f t="shared" si="5"/>
        <v>20</v>
      </c>
      <c r="Q24" s="24" t="str">
        <f t="shared" si="2"/>
        <v xml:space="preserve">अ </v>
      </c>
      <c r="R24" s="25">
        <v>15</v>
      </c>
      <c r="S24" s="25">
        <v>14</v>
      </c>
      <c r="T24" s="25">
        <v>11</v>
      </c>
      <c r="U24" s="25">
        <v>18</v>
      </c>
      <c r="V24" s="29">
        <f>SUM(R24:U24)</f>
        <v>58</v>
      </c>
      <c r="W24" s="24" t="str">
        <f t="shared" si="6"/>
        <v>अ</v>
      </c>
    </row>
    <row r="25" spans="1:25" ht="35.1" customHeight="1" x14ac:dyDescent="0.25">
      <c r="A25" s="25">
        <v>42</v>
      </c>
      <c r="B25" s="32" t="s">
        <v>78</v>
      </c>
      <c r="C25" s="26">
        <v>10</v>
      </c>
      <c r="D25" s="24">
        <v>9</v>
      </c>
      <c r="E25" s="24">
        <v>5</v>
      </c>
      <c r="F25" s="24">
        <f t="shared" si="3"/>
        <v>24</v>
      </c>
      <c r="G25" s="24" t="str">
        <f t="shared" si="0"/>
        <v xml:space="preserve">अ </v>
      </c>
      <c r="H25" s="24">
        <v>9</v>
      </c>
      <c r="I25" s="24">
        <v>9</v>
      </c>
      <c r="J25" s="24">
        <v>4</v>
      </c>
      <c r="K25" s="24">
        <f t="shared" ref="K25" si="7">SUM(H25:J25)</f>
        <v>22</v>
      </c>
      <c r="L25" s="24" t="str">
        <f t="shared" si="1"/>
        <v xml:space="preserve">अ </v>
      </c>
      <c r="M25" s="24">
        <v>7</v>
      </c>
      <c r="N25" s="24">
        <v>6</v>
      </c>
      <c r="O25" s="24">
        <v>5</v>
      </c>
      <c r="P25" s="24">
        <f t="shared" si="5"/>
        <v>18</v>
      </c>
      <c r="Q25" s="24" t="str">
        <f t="shared" si="2"/>
        <v xml:space="preserve">अ </v>
      </c>
      <c r="R25" s="25">
        <v>18</v>
      </c>
      <c r="S25" s="25">
        <v>20</v>
      </c>
      <c r="T25" s="25">
        <v>17</v>
      </c>
      <c r="U25" s="25">
        <v>19</v>
      </c>
      <c r="V25" s="29">
        <f>SUM(R25:U25)</f>
        <v>74</v>
      </c>
      <c r="W25" s="24" t="str">
        <f t="shared" si="6"/>
        <v>अ</v>
      </c>
    </row>
    <row r="26" spans="1:25" ht="35.1" customHeight="1" x14ac:dyDescent="0.25">
      <c r="A26" s="25">
        <v>43</v>
      </c>
      <c r="B26" s="32" t="s">
        <v>53</v>
      </c>
      <c r="C26" s="26">
        <v>6</v>
      </c>
      <c r="D26" s="24">
        <v>4</v>
      </c>
      <c r="E26" s="24">
        <v>3</v>
      </c>
      <c r="F26" s="24">
        <f t="shared" si="3"/>
        <v>13</v>
      </c>
      <c r="G26" s="24" t="str">
        <f t="shared" si="0"/>
        <v xml:space="preserve">क </v>
      </c>
      <c r="H26" s="24">
        <v>5</v>
      </c>
      <c r="I26" s="24">
        <v>6</v>
      </c>
      <c r="J26" s="24">
        <v>4</v>
      </c>
      <c r="K26" s="24">
        <f t="shared" si="4"/>
        <v>15</v>
      </c>
      <c r="L26" s="24" t="str">
        <f t="shared" si="1"/>
        <v xml:space="preserve">ब </v>
      </c>
      <c r="M26" s="24">
        <v>6</v>
      </c>
      <c r="N26" s="24">
        <v>7</v>
      </c>
      <c r="O26" s="24">
        <v>4</v>
      </c>
      <c r="P26" s="24">
        <f t="shared" si="5"/>
        <v>17</v>
      </c>
      <c r="Q26" s="24" t="str">
        <f t="shared" si="2"/>
        <v xml:space="preserve">ब </v>
      </c>
      <c r="R26" s="25">
        <v>16</v>
      </c>
      <c r="S26" s="25">
        <v>11</v>
      </c>
      <c r="T26" s="25">
        <v>9</v>
      </c>
      <c r="U26" s="25">
        <v>10</v>
      </c>
      <c r="V26" s="29">
        <f>SUM(R26:U26)</f>
        <v>46</v>
      </c>
      <c r="W26" s="24" t="str">
        <f t="shared" si="6"/>
        <v>ब</v>
      </c>
    </row>
    <row r="27" spans="1:25" ht="35.1" customHeight="1" x14ac:dyDescent="0.25">
      <c r="A27" s="25">
        <v>44</v>
      </c>
      <c r="B27" s="32" t="s">
        <v>81</v>
      </c>
      <c r="C27" s="26">
        <v>9</v>
      </c>
      <c r="D27" s="24">
        <v>8</v>
      </c>
      <c r="E27" s="24">
        <v>5</v>
      </c>
      <c r="F27" s="24">
        <f t="shared" si="3"/>
        <v>22</v>
      </c>
      <c r="G27" s="24" t="str">
        <f t="shared" si="0"/>
        <v xml:space="preserve">अ </v>
      </c>
      <c r="H27" s="24">
        <v>8</v>
      </c>
      <c r="I27" s="24">
        <v>7</v>
      </c>
      <c r="J27" s="24">
        <v>5</v>
      </c>
      <c r="K27" s="24">
        <f t="shared" si="4"/>
        <v>20</v>
      </c>
      <c r="L27" s="24" t="str">
        <f t="shared" si="1"/>
        <v xml:space="preserve">अ </v>
      </c>
      <c r="M27" s="24">
        <v>6</v>
      </c>
      <c r="N27" s="24">
        <v>7</v>
      </c>
      <c r="O27" s="24">
        <v>5</v>
      </c>
      <c r="P27" s="24">
        <f t="shared" si="5"/>
        <v>18</v>
      </c>
      <c r="Q27" s="24" t="str">
        <f t="shared" si="2"/>
        <v xml:space="preserve">अ </v>
      </c>
      <c r="R27" s="25">
        <v>18</v>
      </c>
      <c r="S27" s="25">
        <v>14</v>
      </c>
      <c r="T27" s="25">
        <v>16</v>
      </c>
      <c r="U27" s="25">
        <v>17</v>
      </c>
      <c r="V27" s="29">
        <f>SUM(R27:U27)</f>
        <v>65</v>
      </c>
      <c r="W27" s="24" t="str">
        <f t="shared" si="6"/>
        <v>अ</v>
      </c>
    </row>
    <row r="28" spans="1:25" ht="35.1" customHeight="1" x14ac:dyDescent="0.25">
      <c r="A28" s="25">
        <v>45</v>
      </c>
      <c r="B28" s="32" t="s">
        <v>54</v>
      </c>
      <c r="C28" s="26">
        <v>6</v>
      </c>
      <c r="D28" s="24">
        <v>6</v>
      </c>
      <c r="E28" s="24">
        <v>4</v>
      </c>
      <c r="F28" s="24">
        <f t="shared" si="3"/>
        <v>16</v>
      </c>
      <c r="G28" s="24" t="str">
        <f t="shared" si="0"/>
        <v xml:space="preserve">ब </v>
      </c>
      <c r="H28" s="24">
        <v>7</v>
      </c>
      <c r="I28" s="24">
        <v>6</v>
      </c>
      <c r="J28" s="24">
        <v>4</v>
      </c>
      <c r="K28" s="24">
        <f t="shared" si="4"/>
        <v>17</v>
      </c>
      <c r="L28" s="24" t="str">
        <f t="shared" si="1"/>
        <v xml:space="preserve">ब </v>
      </c>
      <c r="M28" s="24">
        <v>7</v>
      </c>
      <c r="N28" s="24">
        <v>7</v>
      </c>
      <c r="O28" s="24">
        <v>4</v>
      </c>
      <c r="P28" s="24">
        <f t="shared" si="5"/>
        <v>18</v>
      </c>
      <c r="Q28" s="24" t="str">
        <f t="shared" si="2"/>
        <v xml:space="preserve">अ </v>
      </c>
      <c r="R28" s="25">
        <v>19</v>
      </c>
      <c r="S28" s="25">
        <v>11</v>
      </c>
      <c r="T28" s="25">
        <v>13</v>
      </c>
      <c r="U28" s="25">
        <v>9</v>
      </c>
      <c r="V28" s="29">
        <f>SUM(R28:U28)</f>
        <v>52</v>
      </c>
      <c r="W28" s="24" t="str">
        <f t="shared" si="6"/>
        <v>अ</v>
      </c>
    </row>
    <row r="29" spans="1:25" ht="35.1" customHeight="1" x14ac:dyDescent="0.25">
      <c r="A29" s="25">
        <v>46</v>
      </c>
      <c r="B29" s="32" t="s">
        <v>62</v>
      </c>
      <c r="C29" s="55">
        <v>6</v>
      </c>
      <c r="D29" s="24">
        <v>7</v>
      </c>
      <c r="E29" s="24">
        <v>4</v>
      </c>
      <c r="F29" s="24">
        <f>SUM(C29:E29)</f>
        <v>17</v>
      </c>
      <c r="G29" s="24" t="str">
        <f t="shared" si="0"/>
        <v xml:space="preserve">ब </v>
      </c>
      <c r="H29" s="24">
        <v>8</v>
      </c>
      <c r="I29" s="24">
        <v>9</v>
      </c>
      <c r="J29" s="24">
        <v>4</v>
      </c>
      <c r="K29" s="24">
        <f>SUM(H29:J29)</f>
        <v>21</v>
      </c>
      <c r="L29" s="24" t="str">
        <f t="shared" si="1"/>
        <v xml:space="preserve">अ </v>
      </c>
      <c r="M29" s="24">
        <v>8</v>
      </c>
      <c r="N29" s="24">
        <v>7</v>
      </c>
      <c r="O29" s="24">
        <v>4</v>
      </c>
      <c r="P29" s="24">
        <f>SUM(M29:O29)</f>
        <v>19</v>
      </c>
      <c r="Q29" s="24" t="str">
        <f t="shared" si="2"/>
        <v xml:space="preserve">अ </v>
      </c>
      <c r="R29" s="25">
        <v>15</v>
      </c>
      <c r="S29" s="25">
        <v>16</v>
      </c>
      <c r="T29" s="25">
        <v>6</v>
      </c>
      <c r="U29" s="25">
        <v>16</v>
      </c>
      <c r="V29" s="29">
        <f>SUM(R29:U29)</f>
        <v>53</v>
      </c>
      <c r="W29" s="24" t="str">
        <f t="shared" si="6"/>
        <v>अ</v>
      </c>
      <c r="X29" s="48"/>
      <c r="Y29" s="48"/>
    </row>
    <row r="30" spans="1:25" ht="35.1" customHeight="1" x14ac:dyDescent="0.25">
      <c r="A30" s="25">
        <v>47</v>
      </c>
      <c r="B30" s="32" t="s">
        <v>63</v>
      </c>
      <c r="C30" s="26">
        <v>7</v>
      </c>
      <c r="D30" s="24">
        <v>7</v>
      </c>
      <c r="E30" s="24">
        <v>4</v>
      </c>
      <c r="F30" s="24">
        <f t="shared" si="3"/>
        <v>18</v>
      </c>
      <c r="G30" s="24" t="str">
        <f t="shared" si="0"/>
        <v xml:space="preserve">अ </v>
      </c>
      <c r="H30" s="24">
        <v>8</v>
      </c>
      <c r="I30" s="24">
        <v>8</v>
      </c>
      <c r="J30" s="24">
        <v>4</v>
      </c>
      <c r="K30" s="24">
        <f t="shared" si="4"/>
        <v>20</v>
      </c>
      <c r="L30" s="24" t="str">
        <f t="shared" si="1"/>
        <v xml:space="preserve">अ </v>
      </c>
      <c r="M30" s="24">
        <v>8</v>
      </c>
      <c r="N30" s="24">
        <v>7</v>
      </c>
      <c r="O30" s="24">
        <v>4</v>
      </c>
      <c r="P30" s="24">
        <f t="shared" si="5"/>
        <v>19</v>
      </c>
      <c r="Q30" s="24" t="str">
        <f t="shared" si="2"/>
        <v xml:space="preserve">अ </v>
      </c>
      <c r="R30" s="25">
        <v>15</v>
      </c>
      <c r="S30" s="25">
        <v>17</v>
      </c>
      <c r="T30" s="25">
        <v>16</v>
      </c>
      <c r="U30" s="25">
        <v>15</v>
      </c>
      <c r="V30" s="29">
        <f>SUM(R30:U30)</f>
        <v>63</v>
      </c>
      <c r="W30" s="24" t="str">
        <f t="shared" si="6"/>
        <v>अ</v>
      </c>
    </row>
    <row r="31" spans="1:25" ht="35.1" customHeight="1" x14ac:dyDescent="0.25">
      <c r="A31" s="25">
        <v>48</v>
      </c>
      <c r="B31" s="32" t="s">
        <v>55</v>
      </c>
      <c r="C31" s="26">
        <v>6</v>
      </c>
      <c r="D31" s="24">
        <v>6</v>
      </c>
      <c r="E31" s="24">
        <v>3</v>
      </c>
      <c r="F31" s="24">
        <f t="shared" si="3"/>
        <v>15</v>
      </c>
      <c r="G31" s="24" t="str">
        <f t="shared" si="0"/>
        <v xml:space="preserve">ब </v>
      </c>
      <c r="H31" s="24">
        <v>6</v>
      </c>
      <c r="I31" s="24">
        <v>7</v>
      </c>
      <c r="J31" s="24">
        <v>4</v>
      </c>
      <c r="K31" s="24">
        <f t="shared" si="4"/>
        <v>17</v>
      </c>
      <c r="L31" s="24" t="str">
        <f t="shared" si="1"/>
        <v xml:space="preserve">ब </v>
      </c>
      <c r="M31" s="24">
        <v>6</v>
      </c>
      <c r="N31" s="24">
        <v>7</v>
      </c>
      <c r="O31" s="24">
        <v>3</v>
      </c>
      <c r="P31" s="24">
        <f t="shared" si="5"/>
        <v>16</v>
      </c>
      <c r="Q31" s="24" t="s">
        <v>68</v>
      </c>
      <c r="R31" s="25">
        <v>10</v>
      </c>
      <c r="S31" s="25">
        <v>13</v>
      </c>
      <c r="T31" s="25">
        <v>10</v>
      </c>
      <c r="U31" s="25">
        <v>12</v>
      </c>
      <c r="V31" s="29">
        <f>SUM(R31:U31)</f>
        <v>45</v>
      </c>
      <c r="W31" s="24" t="str">
        <f t="shared" si="6"/>
        <v>ब</v>
      </c>
    </row>
    <row r="32" spans="1:25" ht="35.1" customHeight="1" x14ac:dyDescent="0.25">
      <c r="A32" s="25">
        <v>49</v>
      </c>
      <c r="B32" s="32" t="s">
        <v>56</v>
      </c>
      <c r="C32" s="26">
        <v>6</v>
      </c>
      <c r="D32" s="24">
        <v>6</v>
      </c>
      <c r="E32" s="24">
        <v>3</v>
      </c>
      <c r="F32" s="24">
        <f t="shared" si="3"/>
        <v>15</v>
      </c>
      <c r="G32" s="24" t="str">
        <f t="shared" si="0"/>
        <v xml:space="preserve">ब </v>
      </c>
      <c r="H32" s="24">
        <v>6</v>
      </c>
      <c r="I32" s="24">
        <v>6</v>
      </c>
      <c r="J32" s="24">
        <v>4</v>
      </c>
      <c r="K32" s="24">
        <f t="shared" si="4"/>
        <v>16</v>
      </c>
      <c r="L32" s="24" t="str">
        <f t="shared" si="1"/>
        <v xml:space="preserve">ब </v>
      </c>
      <c r="M32" s="24">
        <v>6</v>
      </c>
      <c r="N32" s="24">
        <v>7</v>
      </c>
      <c r="O32" s="24">
        <v>3</v>
      </c>
      <c r="P32" s="24">
        <f t="shared" si="5"/>
        <v>16</v>
      </c>
      <c r="Q32" s="24" t="str">
        <f>IF(P32&gt;17,$L$42,IF(P32&gt;14,$M$42,IF(P32&gt;11,$N$42)))</f>
        <v xml:space="preserve">ब </v>
      </c>
      <c r="R32" s="25">
        <v>5</v>
      </c>
      <c r="S32" s="25">
        <v>14</v>
      </c>
      <c r="T32" s="25">
        <v>8</v>
      </c>
      <c r="U32" s="25">
        <v>17</v>
      </c>
      <c r="V32" s="29">
        <f>SUM(R32:U32)</f>
        <v>44</v>
      </c>
      <c r="W32" s="24" t="str">
        <f t="shared" si="6"/>
        <v>ब</v>
      </c>
    </row>
    <row r="33" spans="1:23" ht="35.1" customHeight="1" x14ac:dyDescent="0.25">
      <c r="A33" s="25">
        <v>50</v>
      </c>
      <c r="B33" s="32" t="s">
        <v>64</v>
      </c>
      <c r="C33" s="26">
        <v>8</v>
      </c>
      <c r="D33" s="24">
        <v>8</v>
      </c>
      <c r="E33" s="24">
        <v>4</v>
      </c>
      <c r="F33" s="24">
        <f t="shared" si="3"/>
        <v>20</v>
      </c>
      <c r="G33" s="24" t="str">
        <f t="shared" si="0"/>
        <v xml:space="preserve">अ </v>
      </c>
      <c r="H33" s="24">
        <v>8</v>
      </c>
      <c r="I33" s="24">
        <v>7</v>
      </c>
      <c r="J33" s="24">
        <v>4</v>
      </c>
      <c r="K33" s="24">
        <f t="shared" si="4"/>
        <v>19</v>
      </c>
      <c r="L33" s="24" t="str">
        <f t="shared" si="1"/>
        <v xml:space="preserve">अ </v>
      </c>
      <c r="M33" s="24">
        <v>8</v>
      </c>
      <c r="N33" s="24">
        <v>7</v>
      </c>
      <c r="O33" s="24">
        <v>5</v>
      </c>
      <c r="P33" s="24">
        <f t="shared" si="5"/>
        <v>20</v>
      </c>
      <c r="Q33" s="24" t="str">
        <f>IF(P33&gt;17,$L$42,IF(P33&gt;14,$M$42,IF(P33&gt;11,$N$42)))</f>
        <v xml:space="preserve">अ </v>
      </c>
      <c r="R33" s="25">
        <v>14</v>
      </c>
      <c r="S33" s="25">
        <v>15</v>
      </c>
      <c r="T33" s="25">
        <v>16</v>
      </c>
      <c r="U33" s="25">
        <v>16</v>
      </c>
      <c r="V33" s="29">
        <f>SUM(R33:U33)</f>
        <v>61</v>
      </c>
      <c r="W33" s="24" t="str">
        <f t="shared" si="6"/>
        <v>अ</v>
      </c>
    </row>
    <row r="34" spans="1:23" ht="35.1" customHeight="1" x14ac:dyDescent="0.25">
      <c r="A34" s="25">
        <v>51</v>
      </c>
      <c r="B34" s="32" t="s">
        <v>79</v>
      </c>
      <c r="C34" s="26">
        <v>7</v>
      </c>
      <c r="D34" s="24">
        <v>6</v>
      </c>
      <c r="E34" s="24">
        <v>5</v>
      </c>
      <c r="F34" s="24">
        <f t="shared" si="3"/>
        <v>18</v>
      </c>
      <c r="G34" s="24" t="str">
        <f t="shared" si="0"/>
        <v xml:space="preserve">अ </v>
      </c>
      <c r="H34" s="24">
        <v>7</v>
      </c>
      <c r="I34" s="24">
        <v>6</v>
      </c>
      <c r="J34" s="24">
        <v>3</v>
      </c>
      <c r="K34" s="24">
        <f t="shared" si="4"/>
        <v>16</v>
      </c>
      <c r="L34" s="24" t="str">
        <f t="shared" si="1"/>
        <v xml:space="preserve">ब </v>
      </c>
      <c r="M34" s="24">
        <v>6</v>
      </c>
      <c r="N34" s="24">
        <v>7</v>
      </c>
      <c r="O34" s="24">
        <v>7</v>
      </c>
      <c r="P34" s="24">
        <f t="shared" si="5"/>
        <v>20</v>
      </c>
      <c r="Q34" s="24" t="str">
        <f>IF(P34&gt;17,$L$42,IF(P34&gt;14,$M$42,IF(P34&gt;11,$N$42)))</f>
        <v xml:space="preserve">अ </v>
      </c>
      <c r="R34" s="25">
        <v>13</v>
      </c>
      <c r="S34" s="25">
        <v>15</v>
      </c>
      <c r="T34" s="25">
        <v>7</v>
      </c>
      <c r="U34" s="25">
        <v>10</v>
      </c>
      <c r="V34" s="29">
        <f>SUM(R34:U34)</f>
        <v>45</v>
      </c>
      <c r="W34" s="24" t="str">
        <f t="shared" ref="W34" si="8">IF(V34&gt;48,"अ","ब" )</f>
        <v>ब</v>
      </c>
    </row>
    <row r="35" spans="1:23" ht="35.1" customHeight="1" x14ac:dyDescent="0.25">
      <c r="A35" s="25">
        <v>52</v>
      </c>
      <c r="B35" s="32" t="s">
        <v>57</v>
      </c>
      <c r="C35" s="26">
        <v>9</v>
      </c>
      <c r="D35" s="24">
        <v>9</v>
      </c>
      <c r="E35" s="24">
        <v>5</v>
      </c>
      <c r="F35" s="24">
        <f t="shared" si="3"/>
        <v>23</v>
      </c>
      <c r="G35" s="24" t="str">
        <f t="shared" si="0"/>
        <v xml:space="preserve">अ </v>
      </c>
      <c r="H35" s="24">
        <v>9</v>
      </c>
      <c r="I35" s="24">
        <v>8</v>
      </c>
      <c r="J35" s="24">
        <v>5</v>
      </c>
      <c r="K35" s="24">
        <f t="shared" si="4"/>
        <v>22</v>
      </c>
      <c r="L35" s="24" t="str">
        <f t="shared" si="1"/>
        <v xml:space="preserve">अ </v>
      </c>
      <c r="M35" s="24">
        <v>9</v>
      </c>
      <c r="N35" s="24">
        <v>9</v>
      </c>
      <c r="O35" s="24">
        <v>5</v>
      </c>
      <c r="P35" s="24">
        <f t="shared" si="5"/>
        <v>23</v>
      </c>
      <c r="Q35" s="24" t="str">
        <f>IF(P35&gt;17,$L$42,IF(P35&gt;14,$M$42,IF(P35&gt;11,$N$42)))</f>
        <v xml:space="preserve">अ </v>
      </c>
      <c r="R35" s="25">
        <v>16</v>
      </c>
      <c r="S35" s="25">
        <v>17</v>
      </c>
      <c r="T35" s="25">
        <v>12</v>
      </c>
      <c r="U35" s="25">
        <v>13</v>
      </c>
      <c r="V35" s="29">
        <f>SUM(R35:U35)</f>
        <v>58</v>
      </c>
      <c r="W35" s="24" t="str">
        <f t="shared" si="6"/>
        <v>अ</v>
      </c>
    </row>
    <row r="36" spans="1:23" ht="30" customHeight="1" x14ac:dyDescent="0.15">
      <c r="A36" s="14"/>
      <c r="C36" s="50"/>
      <c r="W36" s="30"/>
    </row>
    <row r="37" spans="1:23" ht="30" customHeight="1" x14ac:dyDescent="0.15"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</row>
    <row r="38" spans="1:23" ht="15.75" customHeight="1" thickBot="1" x14ac:dyDescent="0.2"/>
    <row r="39" spans="1:23" ht="21.6" customHeight="1" thickBot="1" x14ac:dyDescent="0.2">
      <c r="D39" s="15" t="s">
        <v>21</v>
      </c>
      <c r="E39" s="12"/>
      <c r="F39" s="16" t="s">
        <v>22</v>
      </c>
      <c r="G39" s="17"/>
      <c r="H39" s="15" t="s">
        <v>23</v>
      </c>
      <c r="I39" s="50"/>
      <c r="J39" s="51"/>
      <c r="K39" s="52"/>
      <c r="L39" s="52"/>
      <c r="M39" s="52"/>
      <c r="N39" s="52"/>
      <c r="O39" s="52"/>
      <c r="P39" s="52"/>
      <c r="Q39" s="52"/>
      <c r="R39" s="52"/>
      <c r="S39" s="52"/>
      <c r="T39" s="53"/>
      <c r="U39" s="53"/>
      <c r="V39" s="54"/>
    </row>
    <row r="40" spans="1:23" ht="21" customHeight="1" thickBot="1" x14ac:dyDescent="0.2">
      <c r="D40" s="11">
        <v>52</v>
      </c>
      <c r="E40" s="12"/>
      <c r="F40" s="13">
        <v>51</v>
      </c>
      <c r="G40" s="12"/>
      <c r="H40" s="13">
        <v>1</v>
      </c>
      <c r="I40" s="50"/>
      <c r="J40" s="18" t="s">
        <v>24</v>
      </c>
      <c r="K40" s="19"/>
      <c r="L40" s="19"/>
      <c r="M40" s="19"/>
      <c r="N40" s="19"/>
      <c r="O40" s="19"/>
      <c r="P40" s="19"/>
      <c r="Q40" s="19"/>
      <c r="R40" s="19"/>
      <c r="S40" s="20"/>
      <c r="T40" s="21"/>
      <c r="U40" s="21"/>
      <c r="V40" s="22"/>
    </row>
    <row r="41" spans="1:23" ht="15.75" customHeight="1" x14ac:dyDescent="0.15"/>
    <row r="42" spans="1:23" ht="24" hidden="1" customHeight="1" x14ac:dyDescent="0.15">
      <c r="L42" s="47" t="s">
        <v>67</v>
      </c>
      <c r="M42" s="47" t="s">
        <v>68</v>
      </c>
      <c r="N42" s="47" t="s">
        <v>69</v>
      </c>
    </row>
    <row r="43" spans="1:23" ht="15.75" customHeight="1" x14ac:dyDescent="0.15"/>
    <row r="44" spans="1:23" ht="15.75" customHeight="1" x14ac:dyDescent="0.15"/>
    <row r="45" spans="1:23" ht="15.75" customHeight="1" x14ac:dyDescent="0.15"/>
    <row r="46" spans="1:23" ht="15.75" customHeight="1" x14ac:dyDescent="0.15"/>
    <row r="47" spans="1:23" ht="15.75" customHeight="1" x14ac:dyDescent="0.15"/>
    <row r="48" spans="1:23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</sheetData>
  <mergeCells count="30">
    <mergeCell ref="U5:U7"/>
    <mergeCell ref="P6:P7"/>
    <mergeCell ref="Q6:Q8"/>
    <mergeCell ref="I6:I7"/>
    <mergeCell ref="J6:J7"/>
    <mergeCell ref="K6:K7"/>
    <mergeCell ref="L6:L8"/>
    <mergeCell ref="M6:M7"/>
    <mergeCell ref="N6:N7"/>
    <mergeCell ref="E6:E7"/>
    <mergeCell ref="F6:F7"/>
    <mergeCell ref="G6:G8"/>
    <mergeCell ref="H6:H7"/>
    <mergeCell ref="O6:O7"/>
    <mergeCell ref="A1:W1"/>
    <mergeCell ref="A2:W2"/>
    <mergeCell ref="A3:W3"/>
    <mergeCell ref="A4:W4"/>
    <mergeCell ref="A5:A8"/>
    <mergeCell ref="B5:B8"/>
    <mergeCell ref="C5:G5"/>
    <mergeCell ref="H5:L5"/>
    <mergeCell ref="M5:Q5"/>
    <mergeCell ref="R5:R7"/>
    <mergeCell ref="S5:S7"/>
    <mergeCell ref="T5:T7"/>
    <mergeCell ref="V5:V7"/>
    <mergeCell ref="W5:W8"/>
    <mergeCell ref="C6:C7"/>
    <mergeCell ref="D6:D7"/>
  </mergeCells>
  <pageMargins left="0.25" right="0.25" top="0.75" bottom="0.75" header="0.3" footer="0.3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boys</vt:lpstr>
      <vt:lpstr>girls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 Sonawane</dc:creator>
  <cp:lastModifiedBy>VEDASHRI AHIRRAO</cp:lastModifiedBy>
  <cp:lastPrinted>2022-08-06T17:04:17Z</cp:lastPrinted>
  <dcterms:created xsi:type="dcterms:W3CDTF">2023-02-15T14:47:29Z</dcterms:created>
  <dcterms:modified xsi:type="dcterms:W3CDTF">2025-08-25T17:27:09Z</dcterms:modified>
</cp:coreProperties>
</file>